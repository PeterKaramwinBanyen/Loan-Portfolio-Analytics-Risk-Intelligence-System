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anyen\Desktop\loan management system-completed\"/>
    </mc:Choice>
  </mc:AlternateContent>
  <xr:revisionPtr revIDLastSave="0" documentId="8_{80F0D540-F877-48A9-883C-1153DCD9F41B}" xr6:coauthVersionLast="47" xr6:coauthVersionMax="47" xr10:uidLastSave="{00000000-0000-0000-0000-000000000000}"/>
  <bookViews>
    <workbookView xWindow="11160" yWindow="0" windowWidth="13815" windowHeight="15600" xr2:uid="{937CF65F-57D5-43FA-A184-9B195943B125}"/>
  </bookViews>
  <sheets>
    <sheet name="Client Database" sheetId="1" r:id="rId1"/>
    <sheet name="Loan Register" sheetId="2" r:id="rId2"/>
    <sheet name="Repayments" sheetId="3" r:id="rId3"/>
    <sheet name="Dashboard" sheetId="4" r:id="rId4"/>
    <sheet name=" Monthly Collections" sheetId="6" r:id="rId5"/>
    <sheet name="Loan Status Distribution " sheetId="7" r:id="rId6"/>
    <sheet name="Loans Due Soon" sheetId="8" r:id="rId7"/>
  </sheets>
  <definedNames>
    <definedName name="_xlchart.v1.0" hidden="1">Dashboard!$A$3</definedName>
    <definedName name="_xlchart.v1.1" hidden="1">Dashboard!$B$3</definedName>
    <definedName name="_xlchart.v1.2" hidden="1">Dashboard!$A$3:$A$10</definedName>
    <definedName name="_xlchart.v1.3" hidden="1">Dashboard!$B$3:$B$10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P5" i="2" l="1"/>
  <c r="P4" i="2"/>
  <c r="P2" i="2"/>
  <c r="Q2" i="2" s="1"/>
  <c r="R2" i="2" s="1"/>
  <c r="P21" i="2"/>
  <c r="P13" i="2"/>
  <c r="P9" i="2"/>
  <c r="P16" i="2"/>
  <c r="P8" i="2"/>
  <c r="P19" i="2"/>
  <c r="P15" i="2"/>
  <c r="P11" i="2"/>
  <c r="P7" i="2"/>
  <c r="P3" i="2"/>
  <c r="P17" i="2"/>
  <c r="P20" i="2"/>
  <c r="P12" i="2"/>
  <c r="P18" i="2"/>
  <c r="P14" i="2"/>
  <c r="P10" i="2"/>
  <c r="P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1" i="3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A4" i="3"/>
  <c r="A5" i="3"/>
  <c r="A6" i="3"/>
  <c r="A7" i="3"/>
  <c r="A8" i="3"/>
  <c r="A2" i="3"/>
  <c r="O2" i="2"/>
  <c r="O3" i="2"/>
  <c r="O4" i="2"/>
  <c r="O5" i="2"/>
  <c r="Q5" i="2" s="1"/>
  <c r="O6" i="2"/>
  <c r="O7" i="2"/>
  <c r="O8" i="2"/>
  <c r="O9" i="2"/>
  <c r="Q9" i="2" s="1"/>
  <c r="O10" i="2"/>
  <c r="O11" i="2"/>
  <c r="O12" i="2"/>
  <c r="O13" i="2"/>
  <c r="O14" i="2"/>
  <c r="O15" i="2"/>
  <c r="Q15" i="2" s="1"/>
  <c r="O16" i="2"/>
  <c r="Q16" i="2" s="1"/>
  <c r="O17" i="2"/>
  <c r="O18" i="2"/>
  <c r="Q18" i="2" s="1"/>
  <c r="O19" i="2"/>
  <c r="O20" i="2"/>
  <c r="Q20" i="2" s="1"/>
  <c r="O21" i="2"/>
  <c r="Q21" i="2" s="1"/>
  <c r="M4" i="2"/>
  <c r="M3" i="2"/>
  <c r="M2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Q17" i="2" l="1"/>
  <c r="Q4" i="2"/>
  <c r="R4" i="2" s="1"/>
  <c r="Q14" i="2"/>
  <c r="S14" i="2" s="1"/>
  <c r="Q6" i="2"/>
  <c r="Q10" i="2"/>
  <c r="S10" i="2" s="1"/>
  <c r="Q11" i="2"/>
  <c r="S11" i="2" s="1"/>
  <c r="Q13" i="2"/>
  <c r="R13" i="2" s="1"/>
  <c r="Q12" i="2"/>
  <c r="S12" i="2" s="1"/>
  <c r="Q8" i="2"/>
  <c r="S8" i="2" s="1"/>
  <c r="Q19" i="2"/>
  <c r="R19" i="2" s="1"/>
  <c r="S19" i="2" s="1"/>
  <c r="Q7" i="2"/>
  <c r="R7" i="2" s="1"/>
  <c r="Q3" i="2"/>
  <c r="R3" i="2" s="1"/>
  <c r="R17" i="2"/>
  <c r="S17" i="2"/>
  <c r="N9" i="2"/>
  <c r="R15" i="2"/>
  <c r="S15" i="2"/>
  <c r="R11" i="2"/>
  <c r="N19" i="2"/>
  <c r="N15" i="2"/>
  <c r="N11" i="2"/>
  <c r="N7" i="2"/>
  <c r="N3" i="2"/>
  <c r="R21" i="2"/>
  <c r="S21" i="2" s="1"/>
  <c r="S13" i="2"/>
  <c r="S9" i="2"/>
  <c r="R9" i="2"/>
  <c r="S5" i="2"/>
  <c r="R5" i="2"/>
  <c r="N21" i="2"/>
  <c r="N17" i="2"/>
  <c r="N13" i="2"/>
  <c r="N5" i="2"/>
  <c r="S20" i="2"/>
  <c r="R20" i="2"/>
  <c r="S16" i="2"/>
  <c r="R16" i="2"/>
  <c r="R12" i="2"/>
  <c r="N20" i="2"/>
  <c r="N16" i="2"/>
  <c r="N12" i="2"/>
  <c r="N8" i="2"/>
  <c r="N4" i="2"/>
  <c r="R18" i="2"/>
  <c r="S18" i="2" s="1"/>
  <c r="R14" i="2"/>
  <c r="R6" i="2"/>
  <c r="S6" i="2"/>
  <c r="S2" i="2"/>
  <c r="N18" i="2"/>
  <c r="N14" i="2"/>
  <c r="N10" i="2"/>
  <c r="N6" i="2"/>
  <c r="N2" i="2"/>
  <c r="D20" i="3"/>
  <c r="D16" i="3"/>
  <c r="D12" i="3"/>
  <c r="D8" i="3"/>
  <c r="D4" i="3"/>
  <c r="D21" i="3"/>
  <c r="D9" i="3"/>
  <c r="D19" i="3"/>
  <c r="D15" i="3"/>
  <c r="D11" i="3"/>
  <c r="D7" i="3"/>
  <c r="D3" i="3"/>
  <c r="D17" i="3"/>
  <c r="D5" i="3"/>
  <c r="D13" i="3"/>
  <c r="D18" i="3"/>
  <c r="D14" i="3"/>
  <c r="D10" i="3"/>
  <c r="D6" i="3"/>
  <c r="D2" i="3"/>
  <c r="S4" i="2" l="1"/>
  <c r="B6" i="4"/>
  <c r="S3" i="2"/>
  <c r="R10" i="2"/>
  <c r="S7" i="2"/>
  <c r="R8" i="2"/>
  <c r="B14" i="4" l="1"/>
  <c r="B10" i="4"/>
  <c r="B13" i="4"/>
  <c r="B9" i="4"/>
  <c r="B12" i="4"/>
  <c r="B15" i="4"/>
  <c r="B8" i="4"/>
  <c r="B7" i="4"/>
</calcChain>
</file>

<file path=xl/sharedStrings.xml><?xml version="1.0" encoding="utf-8"?>
<sst xmlns="http://schemas.openxmlformats.org/spreadsheetml/2006/main" count="285" uniqueCount="210">
  <si>
    <t>Client ID</t>
  </si>
  <si>
    <t>Full Name</t>
  </si>
  <si>
    <t>National ID</t>
  </si>
  <si>
    <t>Phone Number</t>
  </si>
  <si>
    <t>Address</t>
  </si>
  <si>
    <t>Occupation</t>
  </si>
  <si>
    <t>Guarantor</t>
  </si>
  <si>
    <t>Guarantor Phone</t>
  </si>
  <si>
    <t>C001</t>
  </si>
  <si>
    <t>Kwame Asante</t>
  </si>
  <si>
    <t>C002</t>
  </si>
  <si>
    <t>C003</t>
  </si>
  <si>
    <t>Kofi Boateng</t>
  </si>
  <si>
    <t>Loan ID</t>
  </si>
  <si>
    <t>Guarantor Name</t>
  </si>
  <si>
    <t>Loan Date</t>
  </si>
  <si>
    <t>Loan Amount (₵</t>
  </si>
  <si>
    <t>Interest Rate (%)</t>
  </si>
  <si>
    <t>Loan Term (Months)</t>
  </si>
  <si>
    <t>Due Date</t>
  </si>
  <si>
    <t>Expected Monthly Payment</t>
  </si>
  <si>
    <t>Total Amount to Repay</t>
  </si>
  <si>
    <t>Amount Repaid</t>
  </si>
  <si>
    <t>Outstanding Balance</t>
  </si>
  <si>
    <t>Due Soon</t>
  </si>
  <si>
    <t>Status</t>
  </si>
  <si>
    <t>Remarks</t>
  </si>
  <si>
    <t>Akosua Mensah</t>
  </si>
  <si>
    <t>Kojo Owusu</t>
  </si>
  <si>
    <t>Ama Serwaa</t>
  </si>
  <si>
    <t>Abena Nyarko</t>
  </si>
  <si>
    <t>Yaw Appiah</t>
  </si>
  <si>
    <t>Efua Amoah</t>
  </si>
  <si>
    <t>Emmanuel Osei</t>
  </si>
  <si>
    <t>Grace Asiedu</t>
  </si>
  <si>
    <t>Daniel Mensah</t>
  </si>
  <si>
    <t>Patricia Baah</t>
  </si>
  <si>
    <t>Richard Arthur</t>
  </si>
  <si>
    <t>Linda Opoku</t>
  </si>
  <si>
    <t>Samuel Addo</t>
  </si>
  <si>
    <t>Mavis Bonsu</t>
  </si>
  <si>
    <t>Joseph Ankrah</t>
  </si>
  <si>
    <t>Ruth Agyei</t>
  </si>
  <si>
    <t>Michael Tetteh</t>
  </si>
  <si>
    <t>Janet Ofori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</si>
  <si>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</si>
  <si>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</si>
  <si>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</si>
  <si>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</si>
  <si>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</si>
  <si>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</si>
  <si>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</si>
  <si>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</si>
  <si>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</si>
  <si>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</si>
  <si>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</si>
  <si>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</si>
  <si>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</si>
  <si>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</si>
  <si>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</si>
  <si>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</si>
  <si>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</si>
  <si>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GHA-100002</t>
  </si>
  <si>
    <t>GHA-100003</t>
  </si>
  <si>
    <t>GHA-100004</t>
  </si>
  <si>
    <t>GHA-100005</t>
  </si>
  <si>
    <t>GHA-100006</t>
  </si>
  <si>
    <t>GHA-100007</t>
  </si>
  <si>
    <t>GHA-100008</t>
  </si>
  <si>
    <t>GHA-100009</t>
  </si>
  <si>
    <t>GHA-100010</t>
  </si>
  <si>
    <t>GHA-100011</t>
  </si>
  <si>
    <t>GHA-100012</t>
  </si>
  <si>
    <t>GHA-100013</t>
  </si>
  <si>
    <t>GHA-100014</t>
  </si>
  <si>
    <t>GHA-100015</t>
  </si>
  <si>
    <t>GHA-100016</t>
  </si>
  <si>
    <t>GHA-100017</t>
  </si>
  <si>
    <t>GHA-100018</t>
  </si>
  <si>
    <t>GHA-100019</t>
  </si>
  <si>
    <t>GHA-100020</t>
  </si>
  <si>
    <t>GHA-100021</t>
  </si>
  <si>
    <t>024100002</t>
  </si>
  <si>
    <t>024100003</t>
  </si>
  <si>
    <t>024100004</t>
  </si>
  <si>
    <t>024100005</t>
  </si>
  <si>
    <t>024100006</t>
  </si>
  <si>
    <t>024100007</t>
  </si>
  <si>
    <t>024100008</t>
  </si>
  <si>
    <t>024100009</t>
  </si>
  <si>
    <t>024100010</t>
  </si>
  <si>
    <t>024100011</t>
  </si>
  <si>
    <t>024100012</t>
  </si>
  <si>
    <t>024100013</t>
  </si>
  <si>
    <t>024100014</t>
  </si>
  <si>
    <t>024100015</t>
  </si>
  <si>
    <t>024100016</t>
  </si>
  <si>
    <t>024100017</t>
  </si>
  <si>
    <t>024100018</t>
  </si>
  <si>
    <t>024100019</t>
  </si>
  <si>
    <t>024100020</t>
  </si>
  <si>
    <t>024100021</t>
  </si>
  <si>
    <t>House No. 12, Mango Street, East Legon, Accra</t>
  </si>
  <si>
    <t>Plot 45, Liberation Road,Adabraka, Accra</t>
  </si>
  <si>
    <t>House No. 8, Anloga Junction, Kumasi</t>
  </si>
  <si>
    <t>Plot 19, Market Road, Techiman</t>
  </si>
  <si>
    <t>House No. 27, Palm Lane, Effiakuma</t>
  </si>
  <si>
    <t>Plot 34, Zongo Road, Tamale Central</t>
  </si>
  <si>
    <t>House No. 15, Lakeside Avenue, Koforidua New Juaben</t>
  </si>
  <si>
    <t>Plot 52, Independence Street, Ho Bankoe</t>
  </si>
  <si>
    <t>House No. 10, Coconut Grove, Cape Coast North</t>
  </si>
  <si>
    <t>Plot 7, Hospital Road, Wa Central</t>
  </si>
  <si>
    <t>House No. 41, Green Hill Street, Bolgatanga East</t>
  </si>
  <si>
    <t>Plot 29, Community 11 Road, Tema Community 11</t>
  </si>
  <si>
    <t>House No. 18, Cocoa Road, Sunyani Magazine</t>
  </si>
  <si>
    <t>Plot 63, Riverside Drive, Sogakope</t>
  </si>
  <si>
    <t>House No. 22, Freedom Avenue, Kasoa Opeikuma</t>
  </si>
  <si>
    <t>Plot 14, Airport Residential Road, Airport Residential Area</t>
  </si>
  <si>
    <t>House No. 37, Hill View Street, Obuasi East</t>
  </si>
  <si>
    <t>Plot 56, Station Road, Dunkwa-on-Offin</t>
  </si>
  <si>
    <t>House No. 9, Savannah Close, Damongo Central</t>
  </si>
  <si>
    <t>Plot 31, Jubilee Avenue, Nalerigu</t>
  </si>
  <si>
    <t>Trader</t>
  </si>
  <si>
    <t>Kwame Owusu</t>
  </si>
  <si>
    <t>024 512 3481</t>
  </si>
  <si>
    <t>Teacher</t>
  </si>
  <si>
    <t>055 781 9246</t>
  </si>
  <si>
    <t>Taxi Driver</t>
  </si>
  <si>
    <t>Kofi Asante</t>
  </si>
  <si>
    <t>020 663 5178</t>
  </si>
  <si>
    <t>Farmer</t>
  </si>
  <si>
    <t>Yaw Boateng</t>
  </si>
  <si>
    <t>054 238 6419</t>
  </si>
  <si>
    <t>Seamstress</t>
  </si>
  <si>
    <t>Abena Ofori</t>
  </si>
  <si>
    <t>027 845 1936</t>
  </si>
  <si>
    <t>Civil Servant</t>
  </si>
  <si>
    <t>Ibrahim Fuseini</t>
  </si>
  <si>
    <t>059 416 7582</t>
  </si>
  <si>
    <t>Nurse</t>
  </si>
  <si>
    <t>Ama Nyarko</t>
  </si>
  <si>
    <t>024 983 2641</t>
  </si>
  <si>
    <t>Hairdresser</t>
  </si>
  <si>
    <t>Comfort Adjei</t>
  </si>
  <si>
    <t>050 741 3859</t>
  </si>
  <si>
    <t>Fisherman</t>
  </si>
  <si>
    <t>Kojo Essien</t>
  </si>
  <si>
    <t>055 692 8147</t>
  </si>
  <si>
    <t>Electrician</t>
  </si>
  <si>
    <t>Samuel Badu</t>
  </si>
  <si>
    <t>020 518 4793</t>
  </si>
  <si>
    <t>Shop Attendant</t>
  </si>
  <si>
    <t>Patricia Akoto</t>
  </si>
  <si>
    <t>054 832 7165</t>
  </si>
  <si>
    <t>Accountant</t>
  </si>
  <si>
    <t>Josephine Quaye</t>
  </si>
  <si>
    <t>027 604 9281</t>
  </si>
  <si>
    <t>Cocoa Purchasing Clerk</t>
  </si>
  <si>
    <t>Daniel Kyeremeh</t>
  </si>
  <si>
    <t>024 357 1864</t>
  </si>
  <si>
    <t>Poultry Farmer</t>
  </si>
  <si>
    <t>Francisca Agbeko</t>
  </si>
  <si>
    <t>050 923 4715</t>
  </si>
  <si>
    <t>Carpenter</t>
  </si>
  <si>
    <t>Ebenezer Lamptey</t>
  </si>
  <si>
    <t>059 742 1638</t>
  </si>
  <si>
    <t>Software Developer</t>
  </si>
  <si>
    <t>Linda Aidoo</t>
  </si>
  <si>
    <t>055 314 8579</t>
  </si>
  <si>
    <t>Mining Technician</t>
  </si>
  <si>
    <t>Eric Opoku</t>
  </si>
  <si>
    <t>024 691 5382</t>
  </si>
  <si>
    <t>Market Vendor</t>
  </si>
  <si>
    <t>Grace Eshun</t>
  </si>
  <si>
    <t>020 874 2951</t>
  </si>
  <si>
    <t>Livestock Farmer</t>
  </si>
  <si>
    <t>Mohammed Karim</t>
  </si>
  <si>
    <t>054 517 3826</t>
  </si>
  <si>
    <t>Pharmacy Assistant</t>
  </si>
  <si>
    <t>Ruth Azumah</t>
  </si>
  <si>
    <t>027 963 5148</t>
  </si>
  <si>
    <t xml:space="preserve">Receipt No </t>
  </si>
  <si>
    <t>Date Paid</t>
  </si>
  <si>
    <t>Amount Paid</t>
  </si>
  <si>
    <t>Payment Method</t>
  </si>
  <si>
    <t>Received By</t>
  </si>
  <si>
    <t>Mobile Money</t>
  </si>
  <si>
    <t>Bank Transfer</t>
  </si>
  <si>
    <t>Cash</t>
  </si>
  <si>
    <t>Lending Dashboard</t>
  </si>
  <si>
    <t>Total Loans Issued</t>
  </si>
  <si>
    <t>Total Amount Disbursed</t>
  </si>
  <si>
    <t>Total Amount Collected</t>
  </si>
  <si>
    <t>Outstanding Portfolio</t>
  </si>
  <si>
    <t>Active Loans</t>
  </si>
  <si>
    <t>Overdue Loans</t>
  </si>
  <si>
    <t>Completed Loans</t>
  </si>
  <si>
    <t>Loans Due Soon</t>
  </si>
  <si>
    <t>Active</t>
  </si>
  <si>
    <t>Overdue</t>
  </si>
  <si>
    <t>Completed</t>
  </si>
  <si>
    <t>Grand Total</t>
  </si>
  <si>
    <t>Row Labels</t>
  </si>
  <si>
    <t>Sum of Amount Paid</t>
  </si>
  <si>
    <t>Defaulted</t>
  </si>
  <si>
    <t>Count of Loan ID</t>
  </si>
  <si>
    <t>No</t>
  </si>
  <si>
    <t>Lender (Melody Esinam Agyeman)</t>
  </si>
  <si>
    <t>KPI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</si>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</sst>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\₵#,##0.00"/>
    <numFmt numFmtId="166" formatCode="\₵\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8"/>
      <name val="Calibri"/>
      <family val="2"/>
      <scheme val="minor"/>
    </font>
    <font>
      <b/>
      <sz val="18"/>
      <color theme="1"/>
      <name val="Segoe UI"/>
      <family val="2"/>
    </font>
    <font>
      <sz val="18"/>
      <color theme="1"/>
      <name val="Calibri"/>
      <family val="2"/>
      <scheme val="minor"/>
    </font>
    <font>
      <sz val="18"/>
      <color theme="1"/>
      <name val="Segoe U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65" fontId="0" fillId="0" borderId="0" xfId="0" applyNumberFormat="1"/>
    <xf numFmtId="166" fontId="2" fillId="0" borderId="0" xfId="0" applyNumberFormat="1" applyFont="1" applyAlignment="1">
      <alignment vertical="center"/>
    </xf>
    <xf numFmtId="166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pivotButton="1" applyFont="1"/>
    <xf numFmtId="164" fontId="5" fillId="0" borderId="0" xfId="0" applyNumberFormat="1" applyFont="1" applyAlignment="1">
      <alignment horizontal="left"/>
    </xf>
    <xf numFmtId="4" fontId="5" fillId="0" borderId="0" xfId="0" applyNumberFormat="1" applyFont="1"/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164" fontId="9" fillId="0" borderId="0" xfId="0" applyNumberFormat="1" applyFont="1"/>
    <xf numFmtId="4" fontId="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165" fontId="5" fillId="0" borderId="0" xfId="0" applyNumberFormat="1" applyFont="1"/>
  </cellXfs>
  <cellStyles count="1">
    <cellStyle name="Normal" xfId="0" builtinId="0"/>
  </cellStyles>
  <dxfs count="53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trike val="0"/>
        <outline val="0"/>
        <shadow val="0"/>
        <u val="none"/>
        <vertAlign val="baseline"/>
        <sz val="12"/>
        <color theme="1"/>
      </font>
    </dxf>
    <dxf>
      <font>
        <strike val="0"/>
        <outline val="0"/>
        <shadow val="0"/>
        <u val="none"/>
        <vertAlign val="baseline"/>
        <sz val="12"/>
        <color theme="1"/>
      </font>
    </dxf>
    <dxf>
      <font>
        <strike val="0"/>
        <outline val="0"/>
        <shadow val="0"/>
        <u val="none"/>
        <vertAlign val="baseline"/>
        <sz val="12"/>
        <color theme="1"/>
      </font>
    </dxf>
    <dxf>
      <font>
        <strike val="0"/>
        <outline val="0"/>
        <shadow val="0"/>
        <u val="none"/>
        <vertAlign val="baseline"/>
        <sz val="12"/>
        <color theme="1"/>
      </font>
      <numFmt numFmtId="4" formatCode="#,##0.00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</font>
      <numFmt numFmtId="164" formatCode="[$-409]d\-mmm\-yyyy;@"/>
    </dxf>
    <dxf>
      <font>
        <strike val="0"/>
        <outline val="0"/>
        <shadow val="0"/>
        <u val="none"/>
        <vertAlign val="baseline"/>
        <sz val="12"/>
        <color theme="1"/>
      </font>
    </dxf>
    <dxf>
      <font>
        <strike val="0"/>
        <outline val="0"/>
        <shadow val="0"/>
        <u val="none"/>
        <vertAlign val="baseline"/>
        <sz val="12"/>
        <color theme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5" formatCode="\₵#,##0.00"/>
    </dxf>
    <dxf>
      <numFmt numFmtId="166" formatCode="\₵\,##0.00"/>
      <alignment horizontal="right" vertical="center" textRotation="0" wrapText="1" indent="0" justifyLastLine="0" shrinkToFit="0" readingOrder="0"/>
    </dxf>
    <dxf>
      <numFmt numFmtId="165" formatCode="\₵#,##0.00"/>
    </dxf>
    <dxf>
      <numFmt numFmtId="165" formatCode="\₵#,##0.00"/>
    </dxf>
    <dxf>
      <numFmt numFmtId="164" formatCode="[$-409]d\-mmm\-yyyy;@"/>
    </dxf>
    <dxf>
      <numFmt numFmtId="14" formatCode="0.00%"/>
      <alignment horizontal="right" vertical="center" textRotation="0" wrapText="1" indent="0" justifyLastLine="0" shrinkToFit="0" readingOrder="0"/>
    </dxf>
    <dxf>
      <numFmt numFmtId="166" formatCode="\₵\,##0.00"/>
      <alignment horizontal="right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left style="medium">
          <color rgb="FFE6E6E6"/>
        </left>
        <top style="medium">
          <color rgb="FFE6E6E6"/>
        </top>
      </border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Status Distribution</a:t>
            </a:r>
          </a:p>
        </c:rich>
      </c:tx>
      <c:layout>
        <c:manualLayout>
          <c:xMode val="edge"/>
          <c:yMode val="edge"/>
          <c:x val="0.1097643563785296"/>
          <c:y val="1.3889063867016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416666666666667E-2"/>
          <c:y val="1.7334342822531799E-2"/>
          <c:w val="0.93888888888888888"/>
          <c:h val="0.69827172645086033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Dashboard!$A$12:$A$15</c:f>
              <c:strCache>
                <c:ptCount val="4"/>
                <c:pt idx="0">
                  <c:v>Active</c:v>
                </c:pt>
                <c:pt idx="1">
                  <c:v>Due Soon</c:v>
                </c:pt>
                <c:pt idx="2">
                  <c:v>Overdue</c:v>
                </c:pt>
                <c:pt idx="3">
                  <c:v>Completed</c:v>
                </c:pt>
              </c:strCache>
            </c:strRef>
          </c:cat>
          <c:val>
            <c:numRef>
              <c:f>Dashboard!$B$12:$B$15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3-4366-983C-C2C31A56F1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3823232"/>
        <c:axId val="1781110752"/>
      </c:lineChart>
      <c:catAx>
        <c:axId val="193382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10752"/>
        <c:crosses val="autoZero"/>
        <c:auto val="1"/>
        <c:lblAlgn val="ctr"/>
        <c:lblOffset val="100"/>
        <c:noMultiLvlLbl val="0"/>
      </c:catAx>
      <c:valAx>
        <c:axId val="1781110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3382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Total Amount Disbursed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901159230096238"/>
          <c:y val="0.15801655001458151"/>
          <c:w val="0.80098840769903767"/>
          <c:h val="0.66056393992417628"/>
        </c:manualLayout>
      </c:layout>
      <c:bar3DChart>
        <c:barDir val="col"/>
        <c:grouping val="standard"/>
        <c:varyColors val="0"/>
        <c:ser>
          <c:idx val="0"/>
          <c:order val="0"/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</c:f>
              <c:strCache>
                <c:ptCount val="1"/>
                <c:pt idx="0">
                  <c:v>Total Amount Disbursed</c:v>
                </c:pt>
              </c:strCache>
            </c:strRef>
          </c:cat>
          <c:val>
            <c:numRef>
              <c:f>Dashboard!$B$4</c:f>
              <c:numCache>
                <c:formatCode>\₵#,##0.00</c:formatCode>
                <c:ptCount val="1"/>
                <c:pt idx="0">
                  <c:v>258100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1-40B6-8777-D959A0441A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615796592"/>
        <c:axId val="1495773088"/>
        <c:axId val="1661974608"/>
      </c:bar3DChart>
      <c:catAx>
        <c:axId val="1615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73088"/>
        <c:crosses val="autoZero"/>
        <c:auto val="1"/>
        <c:lblAlgn val="ctr"/>
        <c:lblOffset val="100"/>
        <c:noMultiLvlLbl val="0"/>
      </c:catAx>
      <c:valAx>
        <c:axId val="1495773088"/>
        <c:scaling>
          <c:orientation val="minMax"/>
        </c:scaling>
        <c:delete val="0"/>
        <c:axPos val="l"/>
        <c:numFmt formatCode="\₵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796592"/>
        <c:crosses val="autoZero"/>
        <c:crossBetween val="between"/>
      </c:valAx>
      <c:serAx>
        <c:axId val="1661974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73088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Amount Collected</a:t>
            </a:r>
          </a:p>
        </c:rich>
      </c:tx>
      <c:layout>
        <c:manualLayout>
          <c:xMode val="edge"/>
          <c:yMode val="edge"/>
          <c:x val="0.3240345581802274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</c:f>
              <c:strCache>
                <c:ptCount val="1"/>
                <c:pt idx="0">
                  <c:v>Total Amount Collected</c:v>
                </c:pt>
              </c:strCache>
            </c:strRef>
          </c:cat>
          <c:val>
            <c:numRef>
              <c:f>Dashboard!$B$5</c:f>
              <c:numCache>
                <c:formatCode>\₵#,##0.00</c:formatCode>
                <c:ptCount val="1"/>
                <c:pt idx="0">
                  <c:v>159070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0-4A33-8340-6DF152938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940544"/>
        <c:axId val="1431898592"/>
      </c:barChart>
      <c:catAx>
        <c:axId val="158594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98592"/>
        <c:crosses val="autoZero"/>
        <c:auto val="1"/>
        <c:lblAlgn val="ctr"/>
        <c:lblOffset val="100"/>
        <c:noMultiLvlLbl val="0"/>
      </c:catAx>
      <c:valAx>
        <c:axId val="14318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₵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4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Outstanding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</c:f>
              <c:strCache>
                <c:ptCount val="1"/>
                <c:pt idx="0">
                  <c:v>Outstanding Portfolio</c:v>
                </c:pt>
              </c:strCache>
            </c:strRef>
          </c:cat>
          <c:val>
            <c:numRef>
              <c:f>Dashboard!$B$6</c:f>
              <c:numCache>
                <c:formatCode>\₵#,##0.00</c:formatCode>
                <c:ptCount val="1"/>
                <c:pt idx="0">
                  <c:v>99737.59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B-4217-B4BF-BCEDA6D3AF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2850928"/>
        <c:axId val="1495787968"/>
      </c:barChart>
      <c:catAx>
        <c:axId val="142285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87968"/>
        <c:crosses val="autoZero"/>
        <c:auto val="1"/>
        <c:lblAlgn val="ctr"/>
        <c:lblOffset val="100"/>
        <c:noMultiLvlLbl val="0"/>
      </c:catAx>
      <c:valAx>
        <c:axId val="149578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₵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5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Active Loans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</c:f>
              <c:strCache>
                <c:ptCount val="1"/>
                <c:pt idx="0">
                  <c:v>Active Loans</c:v>
                </c:pt>
              </c:strCache>
            </c:strRef>
          </c:cat>
          <c:val>
            <c:numRef>
              <c:f>Dashboard!$B$7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F-4DA3-B1F3-2098DC94A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8736512"/>
        <c:axId val="1431921632"/>
      </c:barChart>
      <c:catAx>
        <c:axId val="134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21632"/>
        <c:crosses val="autoZero"/>
        <c:auto val="1"/>
        <c:lblAlgn val="ctr"/>
        <c:lblOffset val="100"/>
        <c:noMultiLvlLbl val="0"/>
      </c:catAx>
      <c:valAx>
        <c:axId val="14319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3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[Peter_Karamwin_Banyen_Loan_Portfolio_Analytics_Risk_Intelligence_System.xlsx] Monthly Collections!PivotTable3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Collections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4">
              <a:lumMod val="50000"/>
            </a:schemeClr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4">
              <a:lumMod val="50000"/>
            </a:schemeClr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13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14"/>
        <c:spPr>
          <a:solidFill>
            <a:srgbClr val="002060"/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p3d/>
        </c:spPr>
      </c:pivotFmt>
      <c:pivotFmt>
        <c:idx val="17"/>
        <c:spPr>
          <a:solidFill>
            <a:schemeClr val="accent4">
              <a:lumMod val="50000"/>
            </a:schemeClr>
          </a:solidFill>
          <a:ln>
            <a:noFill/>
          </a:ln>
          <a:effectLst/>
          <a:sp3d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  <a:sp3d/>
        </c:spPr>
      </c:pivotFmt>
      <c:pivotFmt>
        <c:idx val="19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Monthly Collections'!$B$3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8E7-485D-9035-990FEEDFE57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8E7-485D-9035-990FEEDFE572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58E7-485D-9035-990FEEDFE572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8E7-485D-9035-990FEEDFE572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58E7-485D-9035-990FEEDFE572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58E7-485D-9035-990FEEDFE5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58E7-485D-9035-990FEEDFE57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58E7-485D-9035-990FEEDFE5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58E7-485D-9035-990FEEDFE5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58E7-485D-9035-990FEEDFE5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58E7-485D-9035-990FEEDFE57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58E7-485D-9035-990FEEDFE572}"/>
              </c:ext>
            </c:extLst>
          </c:dPt>
          <c:dPt>
            <c:idx val="1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58E7-485D-9035-990FEEDFE572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58E7-485D-9035-990FEEDFE572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58E7-485D-9035-990FEEDFE572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58E7-485D-9035-990FEEDFE57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58E7-485D-9035-990FEEDFE572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58E7-485D-9035-990FEEDFE572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4-58E7-485D-9035-990FEEDFE5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Monthly Collections'!$A$4:$A$24</c:f>
              <c:strCache>
                <c:ptCount val="20"/>
                <c:pt idx="0">
                  <c:v>14-Feb-2026</c:v>
                </c:pt>
                <c:pt idx="1">
                  <c:v>19-Feb-2026</c:v>
                </c:pt>
                <c:pt idx="2">
                  <c:v>24-Feb-2026</c:v>
                </c:pt>
                <c:pt idx="3">
                  <c:v>1-Mar-2026</c:v>
                </c:pt>
                <c:pt idx="4">
                  <c:v>6-Mar-2026</c:v>
                </c:pt>
                <c:pt idx="5">
                  <c:v>11-Mar-2026</c:v>
                </c:pt>
                <c:pt idx="6">
                  <c:v>16-Mar-2026</c:v>
                </c:pt>
                <c:pt idx="7">
                  <c:v>21-Mar-2026</c:v>
                </c:pt>
                <c:pt idx="8">
                  <c:v>26-Mar-2026</c:v>
                </c:pt>
                <c:pt idx="9">
                  <c:v>31-Mar-2026</c:v>
                </c:pt>
                <c:pt idx="10">
                  <c:v>5-Apr-2026</c:v>
                </c:pt>
                <c:pt idx="11">
                  <c:v>10-Apr-2026</c:v>
                </c:pt>
                <c:pt idx="12">
                  <c:v>15-Apr-2026</c:v>
                </c:pt>
                <c:pt idx="13">
                  <c:v>20-Apr-2026</c:v>
                </c:pt>
                <c:pt idx="14">
                  <c:v>25-Apr-2026</c:v>
                </c:pt>
                <c:pt idx="15">
                  <c:v>30-Apr-2026</c:v>
                </c:pt>
                <c:pt idx="16">
                  <c:v>5-May-2026</c:v>
                </c:pt>
                <c:pt idx="17">
                  <c:v>10-May-2026</c:v>
                </c:pt>
                <c:pt idx="18">
                  <c:v>15-May-2026</c:v>
                </c:pt>
                <c:pt idx="19">
                  <c:v>20-May-2026</c:v>
                </c:pt>
              </c:strCache>
            </c:strRef>
          </c:cat>
          <c:val>
            <c:numRef>
              <c:f>' Monthly Collections'!$B$4:$B$24</c:f>
              <c:numCache>
                <c:formatCode>#,##0.00</c:formatCode>
                <c:ptCount val="20"/>
                <c:pt idx="0">
                  <c:v>2500</c:v>
                </c:pt>
                <c:pt idx="1">
                  <c:v>5100</c:v>
                </c:pt>
                <c:pt idx="2">
                  <c:v>6000</c:v>
                </c:pt>
                <c:pt idx="3">
                  <c:v>12000</c:v>
                </c:pt>
                <c:pt idx="4">
                  <c:v>2600</c:v>
                </c:pt>
                <c:pt idx="5">
                  <c:v>15000</c:v>
                </c:pt>
                <c:pt idx="6">
                  <c:v>7500</c:v>
                </c:pt>
                <c:pt idx="7">
                  <c:v>1350</c:v>
                </c:pt>
                <c:pt idx="8">
                  <c:v>3900</c:v>
                </c:pt>
                <c:pt idx="9">
                  <c:v>9000</c:v>
                </c:pt>
                <c:pt idx="10">
                  <c:v>1750</c:v>
                </c:pt>
                <c:pt idx="11">
                  <c:v>20000</c:v>
                </c:pt>
                <c:pt idx="12">
                  <c:v>8400</c:v>
                </c:pt>
                <c:pt idx="13">
                  <c:v>4500</c:v>
                </c:pt>
                <c:pt idx="14">
                  <c:v>6900</c:v>
                </c:pt>
                <c:pt idx="15">
                  <c:v>24000</c:v>
                </c:pt>
                <c:pt idx="16">
                  <c:v>11250</c:v>
                </c:pt>
                <c:pt idx="17">
                  <c:v>2320</c:v>
                </c:pt>
                <c:pt idx="18">
                  <c:v>9600</c:v>
                </c:pt>
                <c:pt idx="19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7-485D-9035-990FEEDFE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0147055"/>
        <c:axId val="1066927519"/>
        <c:axId val="0"/>
      </c:bar3DChart>
      <c:catAx>
        <c:axId val="12701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927519"/>
        <c:crosses val="autoZero"/>
        <c:auto val="1"/>
        <c:lblAlgn val="ctr"/>
        <c:lblOffset val="100"/>
        <c:noMultiLvlLbl val="0"/>
      </c:catAx>
      <c:valAx>
        <c:axId val="106692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4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[Peter_Karamwin_Banyen_Loan_Portfolio_Analytics_Risk_Intelligence_System.xlsx]Loan Status Distribution 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Loan</a:t>
            </a:r>
            <a:r>
              <a:rPr lang="en-US" b="1" baseline="0"/>
              <a:t> Status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'Loan Status Distribution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C-4E42-BC73-57EE1FF2858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78C-4E42-BC73-57EE1FF285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8C-4E42-BC73-57EE1FF285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'Loan Status Distribution '!$A$4:$A$8</c:f>
              <c:strCache>
                <c:ptCount val="4"/>
                <c:pt idx="0">
                  <c:v>Active</c:v>
                </c:pt>
                <c:pt idx="1">
                  <c:v>Completed</c:v>
                </c:pt>
                <c:pt idx="2">
                  <c:v>Defaulted</c:v>
                </c:pt>
                <c:pt idx="3">
                  <c:v>Overdue</c:v>
                </c:pt>
              </c:strCache>
            </c:strRef>
          </c:cat>
          <c:val>
            <c:numRef>
              <c:f>'Loan Status Distribution '!$B$4:$B$8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C-4E42-BC73-57EE1FF285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7382336"/>
        <c:axId val="616433920"/>
      </c:barChart>
      <c:catAx>
        <c:axId val="60738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33920"/>
        <c:crosses val="autoZero"/>
        <c:auto val="1"/>
        <c:lblAlgn val="ctr"/>
        <c:lblOffset val="100"/>
        <c:noMultiLvlLbl val="0"/>
      </c:catAx>
      <c:valAx>
        <c:axId val="6164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38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Total Loans Issued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Total Loans Issued</a:t>
          </a:r>
        </a:p>
      </cx:txPr>
    </cx:title>
    <cx:plotArea>
      <cx:plotAreaRegion>
        <cx:series layoutId="clusteredColumn" uniqueId="{16756E6D-AED6-4A1F-811A-B17E8AFB2D0A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5BED99F8-B809-489F-A945-B8B6CB52F012}">
          <cx:axisId val="2"/>
        </cx:series>
      </cx:plotAreaRegion>
      <cx:axis id="0">
        <cx:catScaling gapWidth="1.82000005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Total Loans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Loans</a:t>
          </a:r>
        </a:p>
      </cx:txPr>
    </cx:title>
    <cx:plotArea>
      <cx:plotAreaRegion>
        <cx:series layoutId="clusteredColumn" uniqueId="{952D7E47-3669-40A3-87C6-29022F1E6F38}">
          <cx:dataPt idx="0">
            <cx:spPr>
              <a:solidFill>
                <a:srgbClr val="ED7D31"/>
              </a:solidFill>
            </cx:spPr>
          </cx:dataPt>
          <cx:dataPt idx="1">
            <cx:spPr>
              <a:solidFill>
                <a:srgbClr val="4472C4"/>
              </a:solidFill>
            </cx:spPr>
          </cx:dataPt>
          <cx:dataPt idx="2">
            <cx:spPr>
              <a:solidFill>
                <a:srgbClr val="FFC000"/>
              </a:solidFill>
            </cx:spPr>
          </cx:dataPt>
          <cx:dataLabels/>
          <cx:dataId val="0"/>
          <cx:layoutPr>
            <cx:aggregation/>
          </cx:layoutPr>
          <cx:axisId val="1"/>
        </cx:series>
        <cx:series layoutId="paretoLine" ownerIdx="0" uniqueId="{EB6513BA-50BC-45FA-B931-5184935E2C6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1857375</xdr:colOff>
      <xdr:row>15</xdr:row>
      <xdr:rowOff>161925</xdr:rowOff>
    </xdr:from>
    <xdr:to>
      <xdr:col>7</xdr:col>
      <xdr:colOff>333375</xdr:colOff>
      <xdr:row>30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7A327-F06E-884E-D809-02D1840B4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</xdr:row>
      <xdr:rowOff>185737</xdr:rowOff>
    </xdr:from>
    <xdr:to>
      <xdr:col>11</xdr:col>
      <xdr:colOff>533400</xdr:colOff>
      <xdr:row>14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6AD8F92-78B8-968A-FD2E-BE899DE8C4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0275" y="481012"/>
              <a:ext cx="4572000" cy="406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285750</xdr:colOff>
      <xdr:row>2</xdr:row>
      <xdr:rowOff>33336</xdr:rowOff>
    </xdr:from>
    <xdr:to>
      <xdr:col>20</xdr:col>
      <xdr:colOff>133350</xdr:colOff>
      <xdr:row>16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72B296-53A8-75C5-8C1A-6AC2ED290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409575</xdr:colOff>
      <xdr:row>17</xdr:row>
      <xdr:rowOff>119062</xdr:rowOff>
    </xdr:from>
    <xdr:to>
      <xdr:col>20</xdr:col>
      <xdr:colOff>104775</xdr:colOff>
      <xdr:row>32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A923C2-314B-ABD2-6B9B-049B92AEF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523875</xdr:colOff>
      <xdr:row>2</xdr:row>
      <xdr:rowOff>176212</xdr:rowOff>
    </xdr:from>
    <xdr:to>
      <xdr:col>28</xdr:col>
      <xdr:colOff>219075</xdr:colOff>
      <xdr:row>15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1BC303-E1B6-A793-345B-2909A4506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361950</xdr:colOff>
      <xdr:row>17</xdr:row>
      <xdr:rowOff>138112</xdr:rowOff>
    </xdr:from>
    <xdr:to>
      <xdr:col>28</xdr:col>
      <xdr:colOff>57150</xdr:colOff>
      <xdr:row>32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1171E2-C120-ECDC-61AF-1893136B8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390525</xdr:colOff>
      <xdr:row>2</xdr:row>
      <xdr:rowOff>33337</xdr:rowOff>
    </xdr:from>
    <xdr:to>
      <xdr:col>36</xdr:col>
      <xdr:colOff>85725</xdr:colOff>
      <xdr:row>14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E8CAB45-8E62-584A-F3BC-5A36A6B52C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02600" y="623887"/>
              <a:ext cx="4572000" cy="396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1</xdr:row>
      <xdr:rowOff>14287</xdr:rowOff>
    </xdr:from>
    <xdr:to>
      <xdr:col>9</xdr:col>
      <xdr:colOff>57150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8125F-83F2-EDE4-A82D-9B25215A1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3</xdr:row>
      <xdr:rowOff>23812</xdr:rowOff>
    </xdr:from>
    <xdr:to>
      <xdr:col>12</xdr:col>
      <xdr:colOff>161925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3D7AF-CCB9-ECFB-96E5-8FD791769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Karamwin Banyern" refreshedDate="46241.199086574074" createdVersion="8" refreshedVersion="8" minRefreshableVersion="3" recordCount="20" xr:uid="{AB80976A-96A1-4C40-968A-DA2EAED3C804}">
  <cacheSource type="worksheet">
    <worksheetSource name="tblRepayments"/>
  </cacheSource>
  <cacheFields count="8">
    <cacheField name="Receipt No " numFmtId="0">
      <sharedItems/>
    </cacheField>
    <cacheField name="Date Paid" numFmtId="164">
      <sharedItems containsSemiMixedTypes="0" containsNonDate="0" containsDate="1" containsString="0" minDate="2026-02-14T00:00:00" maxDate="2026-05-21T00:00:00" count="20">
        <d v="2026-02-14T00:00:00"/>
        <d v="2026-02-19T00:00:00"/>
        <d v="2026-02-24T00:00:00"/>
        <d v="2026-03-01T00:00:00"/>
        <d v="2026-03-06T00:00:00"/>
        <d v="2026-03-11T00:00:00"/>
        <d v="2026-03-16T00:00:00"/>
        <d v="2026-03-21T00:00:00"/>
        <d v="2026-03-26T00:00:00"/>
        <d v="2026-03-31T00:00:00"/>
        <d v="2026-04-05T00:00:00"/>
        <d v="2026-04-10T00:00:00"/>
        <d v="2026-04-15T00:00:00"/>
        <d v="2026-04-20T00:00:00"/>
        <d v="2026-04-25T00:00:00"/>
        <d v="2026-04-30T00:00:00"/>
        <d v="2026-05-05T00:00:00"/>
        <d v="2026-05-10T00:00:00"/>
        <d v="2026-05-15T00:00:00"/>
        <d v="2026-05-20T00:00:00"/>
      </sharedItems>
    </cacheField>
    <cacheField name="Loan ID" numFmtId="0">
      <sharedItems/>
    </cacheField>
    <cacheField name="Client ID" numFmtId="0">
      <sharedItems/>
    </cacheField>
    <cacheField name="Amount Paid" numFmtId="4">
      <sharedItems containsSemiMixedTypes="0" containsString="0" containsNumber="1" containsInteger="1" minValue="1350" maxValue="24000"/>
    </cacheField>
    <cacheField name="Payment Method" numFmtId="0">
      <sharedItems/>
    </cacheField>
    <cacheField name="Received By" numFmtId="0">
      <sharedItems/>
    </cacheField>
    <cacheField name="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Karamwin Banyern" refreshedDate="46245.202606365739" createdVersion="8" refreshedVersion="8" minRefreshableVersion="3" recordCount="20" xr:uid="{3B717195-F6C2-4ED4-AA5E-7EA5A820D3B6}">
  <cacheSource type="worksheet">
    <worksheetSource name="tblLoans"/>
  </cacheSource>
  <cacheFields count="20">
    <cacheField name="Loan ID" numFmtId="0">
      <sharedItems/>
    </cacheField>
    <cacheField name="Client ID" numFmtId="0">
      <sharedItems/>
    </cacheField>
    <cacheField name="Full Name" numFmtId="0">
      <sharedItems/>
    </cacheField>
    <cacheField name="National ID" numFmtId="0">
      <sharedItems/>
    </cacheField>
    <cacheField name="Phone Number" numFmtId="0">
      <sharedItems/>
    </cacheField>
    <cacheField name="Address" numFmtId="0">
      <sharedItems/>
    </cacheField>
    <cacheField name="Guarantor Name" numFmtId="0">
      <sharedItems/>
    </cacheField>
    <cacheField name="Guarantor Phone" numFmtId="0">
      <sharedItems/>
    </cacheField>
    <cacheField name="Loan Date" numFmtId="15">
      <sharedItems containsSemiMixedTypes="0" containsNonDate="0" containsDate="1" containsString="0" minDate="2025-01-15T00:00:00" maxDate="2026-05-30T00:00:00"/>
    </cacheField>
    <cacheField name="Loan Amount (₵" numFmtId="166">
      <sharedItems containsSemiMixedTypes="0" containsString="0" containsNumber="1" containsInteger="1" minValue="3500" maxValue="30000"/>
    </cacheField>
    <cacheField name="Interest Rate (%)" numFmtId="10">
      <sharedItems containsSemiMixedTypes="0" containsString="0" containsNumber="1" minValue="0.22" maxValue="0.33"/>
    </cacheField>
    <cacheField name="Loan Term (Months)" numFmtId="0">
      <sharedItems containsSemiMixedTypes="0" containsString="0" containsNumber="1" containsInteger="1" minValue="1" maxValue="12"/>
    </cacheField>
    <cacheField name="Due Date" numFmtId="164">
      <sharedItems containsSemiMixedTypes="0" containsNonDate="0" containsDate="1" containsString="0" minDate="2025-07-15T00:00:00" maxDate="2027-03-14T00:00:00"/>
    </cacheField>
    <cacheField name="Expected Monthly Payment" numFmtId="165">
      <sharedItems containsSemiMixedTypes="0" containsString="0" containsNumber="1" minValue="318.88181818181818" maxValue="6684.666666666667"/>
    </cacheField>
    <cacheField name="Total Amount to Repay" numFmtId="165">
      <sharedItems containsSemiMixedTypes="0" containsString="0" containsNumber="1" minValue="3507.7" maxValue="30073.500000000004"/>
    </cacheField>
    <cacheField name="Amount Repaid" numFmtId="166">
      <sharedItems containsSemiMixedTypes="0" containsString="0" containsNumber="1" containsInteger="1" minValue="1350" maxValue="24000"/>
    </cacheField>
    <cacheField name="Outstanding Balance" numFmtId="165">
      <sharedItems containsSemiMixedTypes="0" containsString="0" containsNumber="1" minValue="-16492.3" maxValue="20254.25"/>
    </cacheField>
    <cacheField name="Due Soon" numFmtId="0">
      <sharedItems count="1">
        <s v="No"/>
      </sharedItems>
    </cacheField>
    <cacheField name="Status" numFmtId="0">
      <sharedItems count="4">
        <s v="Defaulted"/>
        <s v="Completed"/>
        <s v="Overdue"/>
        <s v="Active"/>
      </sharedItems>
    </cacheField>
    <cacheField name="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RCT0001"/>
    <x v="0"/>
    <s v="LN-0001"/>
    <s v="C001"/>
    <n v="2500"/>
    <s v="Mobile Money"/>
    <s v="Lender (Melody Esinam Agyemang)"/>
    <m/>
  </r>
  <r>
    <s v="RCT0002"/>
    <x v="1"/>
    <s v="LN-0002"/>
    <s v="C002"/>
    <n v="5100"/>
    <s v="Bank Transfer"/>
    <s v="Lender (Melody Esinam Agyemang)"/>
    <m/>
  </r>
  <r>
    <s v="RCT0003"/>
    <x v="2"/>
    <s v="LN-0003"/>
    <s v="C003"/>
    <n v="6000"/>
    <s v="Cash"/>
    <s v="Lender (Melody Esinam Agyemang)"/>
    <m/>
  </r>
  <r>
    <s v="RCT0004"/>
    <x v="3"/>
    <s v="LN-0004"/>
    <s v="C004"/>
    <n v="12000"/>
    <s v="Mobile Money"/>
    <s v="Lender (Melody Esinam Agyemang)"/>
    <m/>
  </r>
  <r>
    <s v="RCT0005"/>
    <x v="4"/>
    <s v="LN-0005"/>
    <s v="C005"/>
    <n v="2600"/>
    <s v="Mobile Money"/>
    <s v="Lender (Melody Esinam Agyemang)"/>
    <m/>
  </r>
  <r>
    <s v="RCT0006"/>
    <x v="5"/>
    <s v="LN-0006"/>
    <s v="C006"/>
    <n v="15000"/>
    <s v="Mobile Money"/>
    <s v="Lender (Melody Esinam Agyemang)"/>
    <m/>
  </r>
  <r>
    <s v="RCT0007"/>
    <x v="6"/>
    <s v="LN-0007"/>
    <s v="C007"/>
    <n v="7500"/>
    <s v="Mobile Money"/>
    <s v="Lender (Melody Esinam Agyemang)"/>
    <m/>
  </r>
  <r>
    <s v="RCT0008"/>
    <x v="7"/>
    <s v="LN-0008"/>
    <s v="C008"/>
    <n v="1350"/>
    <s v="Mobile Money"/>
    <s v="Lender (Melody Esinam Agyemang)"/>
    <m/>
  </r>
  <r>
    <s v="RCT0009"/>
    <x v="8"/>
    <s v="LN-0009"/>
    <s v="C009"/>
    <n v="3900"/>
    <s v="Bank Transfer"/>
    <s v="Lender (Melody Esinam Agyemang)"/>
    <m/>
  </r>
  <r>
    <s v="RCT0010"/>
    <x v="9"/>
    <s v="LN-0010"/>
    <s v="C010"/>
    <n v="9000"/>
    <s v="Mobile Money"/>
    <s v="Lender (Melody Esinam Agyemang)"/>
    <m/>
  </r>
  <r>
    <s v="RCT0011"/>
    <x v="10"/>
    <s v="LN-0011"/>
    <s v="C011"/>
    <n v="1750"/>
    <s v="Cash"/>
    <s v="Lender (Melody Esinam Agyemang)"/>
    <m/>
  </r>
  <r>
    <s v="RCT0012"/>
    <x v="11"/>
    <s v="LN-0012"/>
    <s v="C012"/>
    <n v="20000"/>
    <s v="Mobile Money"/>
    <s v="Lender (Melody Esinam Agyemang)"/>
    <m/>
  </r>
  <r>
    <s v="RCT0013"/>
    <x v="12"/>
    <s v="LN-0013"/>
    <s v="C013"/>
    <n v="8400"/>
    <s v="Mobile Money"/>
    <s v="Lender (Melody Esinam Agyemang)"/>
    <m/>
  </r>
  <r>
    <s v="RCT0014"/>
    <x v="13"/>
    <s v="LN-0014"/>
    <s v="C014"/>
    <n v="4500"/>
    <s v="Bank Transfer"/>
    <s v="Lender (Melody Esinam Agyemang)"/>
    <m/>
  </r>
  <r>
    <s v="RCT0015"/>
    <x v="14"/>
    <s v="LN-0015"/>
    <s v="C015"/>
    <n v="6900"/>
    <s v="Mobile Money"/>
    <s v="Lender (Melody Esinam Agyemang)"/>
    <m/>
  </r>
  <r>
    <s v="RCT0016"/>
    <x v="15"/>
    <s v="LN-0016"/>
    <s v="C016"/>
    <n v="24000"/>
    <s v="Mobile Money"/>
    <s v="Lender (Melody Esinam Agyemang)"/>
    <m/>
  </r>
  <r>
    <s v="RCT0017"/>
    <x v="16"/>
    <s v="LN-0017"/>
    <s v="C017"/>
    <n v="11250"/>
    <s v="Mobile Money"/>
    <s v="Lender (Melody Esinam Agyemang)"/>
    <m/>
  </r>
  <r>
    <s v="RCT0018"/>
    <x v="17"/>
    <s v="LN-0018"/>
    <s v="C018"/>
    <n v="2320"/>
    <s v="Cash"/>
    <s v="Lender (Melody Esinam Agyemang)"/>
    <m/>
  </r>
  <r>
    <s v="RCT0019"/>
    <x v="18"/>
    <s v="LN-0019"/>
    <s v="C019"/>
    <n v="9600"/>
    <s v="Mobile Money"/>
    <s v="Lender (Melody Esinam Agyemang)"/>
    <m/>
  </r>
  <r>
    <s v="RCT0020"/>
    <x v="19"/>
    <s v="LN-0020"/>
    <s v="C020"/>
    <n v="5400"/>
    <s v="Mobile Money"/>
    <s v="Lender (Melody Esinam Agyemang)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LN-0001"/>
    <s v="C001"/>
    <s v="Kwame Asante"/>
    <s v="GHA-100002"/>
    <s v="024100002"/>
    <s v="House No. 12, Mango Street, East Legon, Accra"/>
    <s v="Kwame Owusu"/>
    <s v="024 512 3481"/>
    <d v="2025-01-15T00:00:00"/>
    <n v="13500"/>
    <n v="0.24"/>
    <n v="6"/>
    <d v="2025-07-15T00:00:00"/>
    <n v="2255.4"/>
    <n v="13532.4"/>
    <n v="2500"/>
    <n v="11032.4"/>
    <x v="0"/>
    <x v="0"/>
    <m/>
  </r>
  <r>
    <s v="LN-0002"/>
    <s v="C002"/>
    <s v="Akosua Mensah"/>
    <s v="GHA-100003"/>
    <s v="024100003"/>
    <s v="Plot 45, Liberation Road,Adabraka, Accra"/>
    <s v="Akosua Mensah"/>
    <s v="055 781 9246"/>
    <d v="2025-01-28T00:00:00"/>
    <n v="5000"/>
    <n v="0.26500000000000001"/>
    <n v="12"/>
    <d v="2026-01-28T00:00:00"/>
    <n v="417.77083333333331"/>
    <n v="5013.25"/>
    <n v="5100"/>
    <n v="-86.75"/>
    <x v="0"/>
    <x v="1"/>
    <m/>
  </r>
  <r>
    <s v="LN-0003"/>
    <s v="C003"/>
    <s v="Kojo Owusu"/>
    <s v="GHA-100004"/>
    <s v="024100004"/>
    <s v="House No. 8, Anloga Junction, Kumasi"/>
    <s v="Kofi Asante"/>
    <s v="020 663 5178"/>
    <d v="2025-02-12T00:00:00"/>
    <n v="8500"/>
    <n v="0.28000000000000003"/>
    <n v="9"/>
    <d v="2025-11-12T00:00:00"/>
    <n v="947.08888888888885"/>
    <n v="8523.7999999999993"/>
    <n v="6000"/>
    <n v="2523.7999999999993"/>
    <x v="0"/>
    <x v="0"/>
    <m/>
  </r>
  <r>
    <s v="LN-0004"/>
    <s v="C004"/>
    <s v="Ama Serwaa"/>
    <s v="GHA-100005"/>
    <s v="024100005"/>
    <s v="Plot 19, Market Road, Techiman"/>
    <s v="Yaw Boateng"/>
    <s v="054 238 6419"/>
    <d v="2025-03-03T00:00:00"/>
    <n v="12000"/>
    <n v="0.255"/>
    <n v="8"/>
    <d v="2025-11-03T00:00:00"/>
    <n v="1503.825"/>
    <n v="12030.6"/>
    <n v="12000"/>
    <n v="30.600000000000364"/>
    <x v="0"/>
    <x v="0"/>
    <m/>
  </r>
  <r>
    <s v="LN-0005"/>
    <s v="C005"/>
    <s v="Kofi Boateng"/>
    <s v="GHA-100006"/>
    <s v="024100006"/>
    <s v="House No. 27, Palm Lane, Effiakuma"/>
    <s v="Abena Ofori"/>
    <s v="027 845 1936"/>
    <d v="2025-03-21T00:00:00"/>
    <n v="15000"/>
    <n v="0.3"/>
    <n v="10"/>
    <d v="2026-01-21T00:00:00"/>
    <n v="1504.4999999999998"/>
    <n v="15044.999999999998"/>
    <n v="2600"/>
    <n v="12444.999999999998"/>
    <x v="0"/>
    <x v="0"/>
    <m/>
  </r>
  <r>
    <s v="LN-0006"/>
    <s v="C006"/>
    <s v="Abena Nyarko"/>
    <s v="GHA-100007"/>
    <s v="024100007"/>
    <s v="Plot 34, Zongo Road, Tamale Central"/>
    <s v="Ibrahim Fuseini"/>
    <s v="059 416 7582"/>
    <d v="2025-04-14T00:00:00"/>
    <n v="6500"/>
    <n v="0.22500000000000001"/>
    <n v="5"/>
    <d v="2025-09-14T00:00:00"/>
    <n v="1302.9250000000002"/>
    <n v="6514.6250000000009"/>
    <n v="15000"/>
    <n v="-8485.375"/>
    <x v="0"/>
    <x v="1"/>
    <m/>
  </r>
  <r>
    <s v="LN-0007"/>
    <s v="C007"/>
    <s v="Yaw Appiah"/>
    <s v="GHA-100008"/>
    <s v="024100008"/>
    <s v="House No. 15, Lakeside Avenue, Koforidua New Juaben"/>
    <s v="Ama Nyarko"/>
    <s v="024 983 2641"/>
    <d v="2025-05-09T00:00:00"/>
    <n v="20000"/>
    <n v="0.27"/>
    <n v="3"/>
    <d v="2025-08-09T00:00:00"/>
    <n v="6684.666666666667"/>
    <n v="20054"/>
    <n v="7500"/>
    <n v="12554"/>
    <x v="0"/>
    <x v="0"/>
    <m/>
  </r>
  <r>
    <s v="LN-0008"/>
    <s v="C008"/>
    <s v="Efua Amoah"/>
    <s v="GHA-100009"/>
    <s v="024100009"/>
    <s v="Plot 52, Independence Street, Ho Bankoe"/>
    <s v="Comfort Adjei"/>
    <s v="050 741 3859"/>
    <d v="2025-05-27T00:00:00"/>
    <n v="10000"/>
    <n v="0.315"/>
    <n v="2"/>
    <d v="2025-07-27T00:00:00"/>
    <n v="5015.75"/>
    <n v="10031.5"/>
    <n v="1350"/>
    <n v="8681.5"/>
    <x v="0"/>
    <x v="0"/>
    <m/>
  </r>
  <r>
    <s v="LN-0009"/>
    <s v="C009"/>
    <s v="Emmanuel Osei"/>
    <s v="GHA-100010"/>
    <s v="024100010"/>
    <s v="House No. 10, Coconut Grove, Cape Coast North"/>
    <s v="Kojo Essien"/>
    <s v="055 692 8147"/>
    <d v="2025-06-18T00:00:00"/>
    <n v="4500"/>
    <n v="0.28999999999999998"/>
    <n v="1"/>
    <d v="2025-07-18T00:00:00"/>
    <n v="4513.0499999999993"/>
    <n v="4513.0499999999993"/>
    <n v="3900"/>
    <n v="613.04999999999927"/>
    <x v="0"/>
    <x v="0"/>
    <m/>
  </r>
  <r>
    <s v="LN-0010"/>
    <s v="C010"/>
    <s v="Grace Asiedu"/>
    <s v="GHA-100011"/>
    <s v="024100011"/>
    <s v="Plot 7, Hospital Road, Wa Central"/>
    <s v="Samuel Badu"/>
    <s v="020 518 4793"/>
    <d v="2025-07-11T00:00:00"/>
    <n v="7800"/>
    <n v="0.23"/>
    <n v="4"/>
    <d v="2025-11-11T00:00:00"/>
    <n v="1954.4849999999999"/>
    <n v="7817.94"/>
    <n v="9000"/>
    <n v="-1182.0600000000004"/>
    <x v="0"/>
    <x v="1"/>
    <m/>
  </r>
  <r>
    <s v="LN-0011"/>
    <s v="C011"/>
    <s v="Daniel Mensah"/>
    <s v="GHA-100012"/>
    <s v="024100012"/>
    <s v="House No. 41, Green Hill Street, Bolgatanga East"/>
    <s v="Patricia Akoto"/>
    <s v="054 832 7165"/>
    <d v="2025-08-25T00:00:00"/>
    <n v="18000"/>
    <n v="0.32"/>
    <n v="7"/>
    <d v="2026-03-25T00:00:00"/>
    <n v="2579.6571428571433"/>
    <n v="18057.600000000002"/>
    <n v="1750"/>
    <n v="16307.600000000002"/>
    <x v="0"/>
    <x v="0"/>
    <m/>
  </r>
  <r>
    <s v="LN-0012"/>
    <s v="C012"/>
    <s v="Patricia Baah"/>
    <s v="GHA-100013"/>
    <s v="024100013"/>
    <s v="Plot 29, Community 11 Road, Tema Community 11"/>
    <s v="Josephine Quaye"/>
    <s v="027 604 9281"/>
    <d v="2025-09-16T00:00:00"/>
    <n v="3500"/>
    <n v="0.22"/>
    <n v="11"/>
    <d v="2026-08-16T00:00:00"/>
    <n v="318.88181818181818"/>
    <n v="3507.7"/>
    <n v="20000"/>
    <n v="-16492.3"/>
    <x v="0"/>
    <x v="1"/>
    <m/>
  </r>
  <r>
    <s v="LN-0013"/>
    <s v="C013"/>
    <s v="Richard Arthur"/>
    <s v="GHA-100014"/>
    <s v="024100014"/>
    <s v="House No. 18, Cocoa Road, Sunyani Magazine"/>
    <s v="Daniel Kyeremeh"/>
    <s v="024 357 1864"/>
    <d v="2025-10-08T00:00:00"/>
    <n v="25000"/>
    <n v="0.26"/>
    <n v="9"/>
    <d v="2026-07-08T00:00:00"/>
    <n v="2785"/>
    <n v="25065"/>
    <n v="8400"/>
    <n v="16665"/>
    <x v="0"/>
    <x v="2"/>
    <m/>
  </r>
  <r>
    <s v="LN-0014"/>
    <s v="C014"/>
    <s v="Linda Opoku"/>
    <s v="GHA-100015"/>
    <s v="024100015"/>
    <s v="Plot 63, Riverside Drive, Sogakope"/>
    <s v="Francisca Agbeko"/>
    <s v="050 923 4715"/>
    <d v="2025-11-19T00:00:00"/>
    <n v="14000"/>
    <n v="0.28499999999999998"/>
    <n v="6"/>
    <d v="2026-05-19T00:00:00"/>
    <n v="2339.9833333333331"/>
    <n v="14039.9"/>
    <n v="4500"/>
    <n v="9539.9"/>
    <x v="0"/>
    <x v="2"/>
    <m/>
  </r>
  <r>
    <s v="LN-0015"/>
    <s v="C015"/>
    <s v="Samuel Addo"/>
    <s v="GHA-100016"/>
    <s v="024100016"/>
    <s v="House No. 22, Freedom Avenue, Kasoa Opeikuma"/>
    <s v="Ebenezer Lamptey"/>
    <s v="059 742 1638"/>
    <d v="2025-12-15T00:00:00"/>
    <n v="9000"/>
    <n v="0.27500000000000002"/>
    <n v="3"/>
    <d v="2026-03-15T00:00:00"/>
    <n v="3008.25"/>
    <n v="9024.75"/>
    <n v="6900"/>
    <n v="2124.75"/>
    <x v="0"/>
    <x v="0"/>
    <m/>
  </r>
  <r>
    <s v="LN-0016"/>
    <s v="C016"/>
    <s v="Mavis Bonsu"/>
    <s v="GHA-100017"/>
    <s v="024100017"/>
    <s v="Plot 14, Airport Residential Road, Airport Residential Area"/>
    <s v="Linda Aidoo"/>
    <s v="055 314 8579"/>
    <d v="2026-01-20T00:00:00"/>
    <n v="11500"/>
    <n v="0.23499999999999999"/>
    <n v="5"/>
    <d v="2026-06-20T00:00:00"/>
    <n v="2305.4050000000002"/>
    <n v="11527.025000000001"/>
    <n v="24000"/>
    <n v="-12472.974999999999"/>
    <x v="0"/>
    <x v="1"/>
    <m/>
  </r>
  <r>
    <s v="LN-0017"/>
    <s v="C017"/>
    <s v="Joseph Ankrah"/>
    <s v="GHA-100018"/>
    <s v="024100018"/>
    <s v="House No. 37, Hill View Street, Obuasi East"/>
    <s v="Eric Opoku"/>
    <s v="024 691 5382"/>
    <d v="2026-02-17T00:00:00"/>
    <n v="30000"/>
    <n v="0.245"/>
    <n v="12"/>
    <d v="2027-02-17T00:00:00"/>
    <n v="2506.1250000000005"/>
    <n v="30073.500000000004"/>
    <n v="11250"/>
    <n v="18823.500000000004"/>
    <x v="0"/>
    <x v="3"/>
    <m/>
  </r>
  <r>
    <s v="LN-0018"/>
    <s v="C018"/>
    <s v="Ruth Agyei"/>
    <s v="GHA-100019"/>
    <s v="024100019"/>
    <s v="Plot 56, Station Road, Dunkwa-on-Offin"/>
    <s v="Grace Eshun"/>
    <s v="020 874 2951"/>
    <d v="2026-03-24T00:00:00"/>
    <n v="22500"/>
    <n v="0.33"/>
    <n v="10"/>
    <d v="2027-01-24T00:00:00"/>
    <n v="2257.4250000000002"/>
    <n v="22574.25"/>
    <n v="2320"/>
    <n v="20254.25"/>
    <x v="0"/>
    <x v="3"/>
    <m/>
  </r>
  <r>
    <s v="LN-0019"/>
    <s v="C019"/>
    <s v="Michael Tetteh"/>
    <s v="GHA-100020"/>
    <s v="024100020"/>
    <s v="House No. 9, Savannah Close, Damongo Central"/>
    <s v="Mohammed Karim"/>
    <s v="054 517 3826"/>
    <d v="2026-04-13T00:00:00"/>
    <n v="5800"/>
    <n v="0.25"/>
    <n v="11"/>
    <d v="2027-03-13T00:00:00"/>
    <n v="528.59090909090912"/>
    <n v="5814.5"/>
    <n v="9600"/>
    <n v="-3785.5"/>
    <x v="0"/>
    <x v="1"/>
    <m/>
  </r>
  <r>
    <s v="LN-0020"/>
    <s v="C020"/>
    <s v="Janet Ofori"/>
    <s v="GHA-100021"/>
    <s v="024100021"/>
    <s v="Plot 31, Jubilee Avenue, Nalerigu"/>
    <s v="Ruth Azumah"/>
    <s v="027 963 5148"/>
    <d v="2026-05-29T00:00:00"/>
    <n v="16000"/>
    <n v="0.29499999999999998"/>
    <n v="8"/>
    <d v="2027-01-29T00:00:00"/>
    <n v="2005.9"/>
    <n v="16047.2"/>
    <n v="5400"/>
    <n v="10647.2"/>
    <x v="0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C696C-2D73-43F7-B34B-D80981A0374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24" firstHeaderRow="1" firstDataRow="1" firstDataCol="1"/>
  <pivotFields count="8">
    <pivotField showAll="0"/>
    <pivotField axis="axisRow" numFmtId="16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numFmtId="4"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mount Paid" fld="4" baseField="0" baseItem="0" numFmtId="4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2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3CB8C-9E00-43F6-BB3E-9C32B9A0B79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numFmtId="166" showAll="0"/>
    <pivotField numFmtId="10" showAll="0"/>
    <pivotField showAll="0"/>
    <pivotField numFmtId="164" showAll="0"/>
    <pivotField numFmtId="165" showAll="0"/>
    <pivotField numFmtId="165" showAll="0"/>
    <pivotField numFmtId="166" showAll="0"/>
    <pivotField numFmtId="165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 ID" fld="0" subtotal="count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8" type="button" dataOnly="0" labelOnly="1" outline="0" axis="axisRow" fieldPosition="0"/>
    </format>
    <format dxfId="9">
      <pivotArea dataOnly="0" labelOnly="1" fieldPosition="0">
        <references count="1">
          <reference field="1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8F587-DA46-411F-9B9E-F8442FE25FB1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numFmtId="166" showAll="0"/>
    <pivotField numFmtId="10" showAll="0"/>
    <pivotField showAll="0"/>
    <pivotField numFmtId="164" showAll="0"/>
    <pivotField numFmtId="165" showAll="0"/>
    <pivotField numFmtId="165" showAll="0"/>
    <pivotField numFmtId="166" showAll="0"/>
    <pivotField numFmtId="165" showAll="0"/>
    <pivotField axis="axisRow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dataFields count="1">
    <dataField name="Count of Loa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F59AB-EF00-4983-99D1-4C99A51A8535}" name="tblClients" displayName="tblClients" ref="A1:H21" totalsRowShown="0" headerRowDxfId="52" headerRowBorderDxfId="51" tableBorderDxfId="50">
  <autoFilter ref="A1:H21" xr:uid="{9B0F59AB-EF00-4983-99D1-4C99A51A8535}"/>
  <tableColumns count="8">
    <tableColumn id="1" xr3:uid="{4B39A35E-2571-4F63-B0A5-964ABECA1C26}" name="Client ID" dataDxfId="49"/>
    <tableColumn id="2" xr3:uid="{1630242C-4568-4164-AAD8-23756F6D82AB}" name="Full Name" dataDxfId="48"/>
    <tableColumn id="3" xr3:uid="{D46FFACB-9613-416A-B9AD-EE809949FDA6}" name="National ID"/>
    <tableColumn id="4" xr3:uid="{2F354C5B-9431-4BF6-A9C3-FBBA4B174990}" name="Phone Number"/>
    <tableColumn id="5" xr3:uid="{BB2A7310-CFFF-4B01-97BF-E14717E21C97}" name="Address"/>
    <tableColumn id="6" xr3:uid="{214F1423-F973-4549-81EE-EEAACF88A525}" name="Occupation"/>
    <tableColumn id="7" xr3:uid="{577F18A7-5CEB-432D-8C30-380C28DF0C07}" name="Guarantor"/>
    <tableColumn id="8" xr3:uid="{FFBEF677-39CD-4BE9-9026-683E53427A78}" name="Guarantor Ph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326CFE-DFFD-4B19-A0FB-FE33B65F9080}" name="tblLoans" displayName="tblLoans" ref="A1:T21" totalsRowShown="0" headerRowDxfId="47">
  <autoFilter ref="A1:T21" xr:uid="{40326CFE-DFFD-4B19-A0FB-FE33B65F9080}"/>
  <tableColumns count="20">
    <tableColumn id="1" xr3:uid="{17F08DB2-7E64-451F-B7FB-1E527DF55471}" name="Loan ID" dataDxfId="46">
      <calculatedColumnFormula>"LN-"&amp;TEXT(ROW()-1,"0000")</calculatedColumnFormula>
    </tableColumn>
    <tableColumn id="2" xr3:uid="{A5D7F427-D9F2-4E79-B379-DBE312579CAA}" name="Client ID" dataDxfId="45"/>
    <tableColumn id="3" xr3:uid="{F5CBD12B-8AAC-41D6-A270-472DA8A5C8A5}" name="Full Name" dataDxfId="44">
      <calculatedColumnFormula>_xlfn.XLOOKUP(tblLoans[[#This Row],[Client ID]],tblClients[Client ID],tblClients[Full Name],"")</calculatedColumnFormula>
    </tableColumn>
    <tableColumn id="4" xr3:uid="{6BFF6FF2-8F23-4913-930E-2573F24C9E89}" name="National ID" dataDxfId="43">
      <calculatedColumnFormula>_xlfn.XLOOKUP(tblLoans[[#This Row],[Client ID]],tblClients[Client ID],tblClients[National ID],"")</calculatedColumnFormula>
    </tableColumn>
    <tableColumn id="5" xr3:uid="{1D99789F-FC3C-4F80-BE00-257D53D7D3E9}" name="Phone Number" dataDxfId="42">
      <calculatedColumnFormula>_xlfn.XLOOKUP(tblLoans[[#This Row],[Client ID]],tblClients[Client ID],tblClients[Phone Number],"")</calculatedColumnFormula>
    </tableColumn>
    <tableColumn id="6" xr3:uid="{1D5C5322-BA4A-4211-AEC7-DBD404862D83}" name="Address" dataDxfId="41">
      <calculatedColumnFormula>_xlfn.XLOOKUP(tblLoans[[#This Row],[Client ID]],tblClients[Client ID],tblClients[Address],"")</calculatedColumnFormula>
    </tableColumn>
    <tableColumn id="7" xr3:uid="{78F81CF4-1921-4ADD-9EC3-9FD0645CED65}" name="Guarantor Name" dataDxfId="40">
      <calculatedColumnFormula>_xlfn.XLOOKUP(tblLoans[[#This Row],[Client ID]],tblClients[Client ID],tblClients[Guarantor],"")</calculatedColumnFormula>
    </tableColumn>
    <tableColumn id="8" xr3:uid="{92558E4C-60C5-4F79-9BB9-F211FECF7838}" name="Guarantor Phone" dataDxfId="39">
      <calculatedColumnFormula>_xlfn.XLOOKUP(tblLoans[[#This Row],[Client ID]],tblClients[Client ID],tblClients[Guarantor Phone],"")</calculatedColumnFormula>
    </tableColumn>
    <tableColumn id="9" xr3:uid="{855CFB00-8F18-4C7A-8BF8-7B2EF3259FCD}" name="Loan Date" dataDxfId="38"/>
    <tableColumn id="10" xr3:uid="{DC88A3FD-8B36-46CD-9AB4-5D0F988E07E6}" name="Loan Amount (₵" dataDxfId="37"/>
    <tableColumn id="11" xr3:uid="{27A25756-D5FB-4EF3-BAF8-CC078E1F8569}" name="Interest Rate (%)" dataDxfId="36"/>
    <tableColumn id="12" xr3:uid="{97AF2478-B347-4761-AB4F-02483038A218}" name="Loan Term (Months)"/>
    <tableColumn id="13" xr3:uid="{6D44D00C-3259-490B-B3DF-9FC9DCCF6F0C}" name="Due Date" dataDxfId="35">
      <calculatedColumnFormula>EDATE(I2,L2)</calculatedColumnFormula>
    </tableColumn>
    <tableColumn id="14" xr3:uid="{6D2B339A-1DEE-4B0F-B6B7-928B90D49FD1}" name="Expected Monthly Payment" dataDxfId="34">
      <calculatedColumnFormula>O2/L2</calculatedColumnFormula>
    </tableColumn>
    <tableColumn id="15" xr3:uid="{85A5705B-B415-4352-9DEB-3AB94886853A}" name="Total Amount to Repay" dataDxfId="33">
      <calculatedColumnFormula>J2*(1+K2/100)</calculatedColumnFormula>
    </tableColumn>
    <tableColumn id="16" xr3:uid="{2C6EE6A4-55AD-487B-B947-BDA7BBDF449F}" name="Amount Repaid" dataDxfId="32">
      <calculatedColumnFormula>SUMIF(Repayments!C:C,A2,Repayments!E:E)</calculatedColumnFormula>
    </tableColumn>
    <tableColumn id="17" xr3:uid="{D3751141-65D7-4166-B6AF-D689729A7131}" name="Outstanding Balance" dataDxfId="31">
      <calculatedColumnFormula>tblLoans[[#This Row],[Total Amount to Repay]]-tblLoans[[#This Row],[Amount Repaid]]</calculatedColumnFormula>
    </tableColumn>
    <tableColumn id="18" xr3:uid="{45B12773-41B7-4170-A92F-501D8FB6F49F}" name="Due Soon" dataDxfId="30">
      <calculatedColumnFormula>IF(AND(tblLoans[[#This Row],[Outstanding Balance]]&gt;0,tblLoans[[#This Row],[Due Date]]-TODAY()&lt;=14,tblLoans[[#This Row],[Due Date]]&gt;=TODAY()),"Yes","No")</calculatedColumnFormula>
    </tableColumn>
    <tableColumn id="19" xr3:uid="{C3BE81FA-BF62-486D-B94B-284C6D1BE263}" name="Status" dataDxfId="29">
      <calculatedColumnFormula>IF(tblLoans[[#This Row],[Outstanding Balance]]&lt;=0,
"Completed",
IF(TODAY()&gt;tblLoans[[#This Row],[Due Date]]+90,
"Defaulted",
IF(TODAY()&gt;tblLoans[[#This Row],[Due Date]],
"Overdue",
IF(tblLoans[[#This Row],[Due Soon]]="Yes",
"Due Soon",
"Active"))))</calculatedColumnFormula>
    </tableColumn>
    <tableColumn id="20" xr3:uid="{62DF4382-9581-42A3-B89B-A6274C285124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F27F9E-1D1D-4731-9B6C-B96A081B8A7C}" name="tblRepayments" displayName="tblRepayments" ref="A1:H21" totalsRowShown="0" headerRowDxfId="28" dataDxfId="27">
  <autoFilter ref="A1:H21" xr:uid="{FDF27F9E-1D1D-4731-9B6C-B96A081B8A7C}"/>
  <tableColumns count="8">
    <tableColumn id="1" xr3:uid="{06599DE6-942F-4DBF-BF41-D4321DF0FE31}" name="Receipt No " dataDxfId="26">
      <calculatedColumnFormula>"RCT"&amp;TEXT(ROW()-1,"0000")</calculatedColumnFormula>
    </tableColumn>
    <tableColumn id="2" xr3:uid="{8314737C-2851-4531-BADD-6DA55E590D94}" name="Date Paid" dataDxfId="25"/>
    <tableColumn id="3" xr3:uid="{AC496CC6-DBF2-4A48-BCDC-0509AAEFCB91}" name="Loan ID" dataDxfId="24">
      <calculatedColumnFormula>"LN-"&amp;TEXT(ROW()-1,"0000")</calculatedColumnFormula>
    </tableColumn>
    <tableColumn id="4" xr3:uid="{0DA069B8-B533-4527-B968-D9B03D740601}" name="Client ID" dataDxfId="23">
      <calculatedColumnFormula>_xlfn.XLOOKUP(tblRepayments[[#This Row],[Loan ID]],tblLoans[Loan ID],tblLoans[Client ID],"")</calculatedColumnFormula>
    </tableColumn>
    <tableColumn id="5" xr3:uid="{A97F7A0D-8F57-4327-866B-5A4F1961DC60}" name="Amount Paid" dataDxfId="22"/>
    <tableColumn id="6" xr3:uid="{A0FEC479-A1BF-40BB-84CF-25AE3335D720}" name="Payment Method" dataDxfId="21"/>
    <tableColumn id="7" xr3:uid="{9B9C9618-C95D-49F7-BEF8-59BD55F11AC2}" name="Received By" dataDxfId="20"/>
    <tableColumn id="8" xr3:uid="{E14A1931-4578-427B-8121-DB58A9EBF25A}" name="Remarks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07A0-DCE4-4244-81CC-BE6936E3DB6C}">
  <dimension ref="A1:H21"/>
  <sheetViews>
    <sheetView tabSelected="1" workbookViewId="0">
      <pane ySplit="1" topLeftCell="A2" activePane="bottomLeft" state="frozen"/>
      <selection pane="bottomLeft" activeCell="D40" sqref="D40"/>
    </sheetView>
  </sheetViews>
  <sheetFormatPr defaultRowHeight="15" x14ac:dyDescent="0.25"/>
  <cols>
    <col min="1" max="1" width="11.7109375" customWidth="1"/>
    <col min="2" max="2" width="15.140625" bestFit="1" customWidth="1"/>
    <col min="3" max="3" width="14.5703125" customWidth="1"/>
    <col min="4" max="4" width="18.28515625" customWidth="1"/>
    <col min="5" max="5" width="53.28515625" bestFit="1" customWidth="1"/>
    <col min="6" max="6" width="21.7109375" bestFit="1" customWidth="1"/>
    <col min="7" max="7" width="17.5703125" bestFit="1" customWidth="1"/>
    <col min="8" max="8" width="21" bestFit="1" customWidth="1"/>
  </cols>
  <sheetData>
    <row r="1" spans="1:8" ht="17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62</v>
      </c>
      <c r="D2" t="s">
        <v>82</v>
      </c>
      <c r="E2" t="s">
        <v>102</v>
      </c>
      <c r="F2" t="s">
        <v>122</v>
      </c>
      <c r="G2" t="s">
        <v>123</v>
      </c>
      <c r="H2" t="s">
        <v>124</v>
      </c>
    </row>
    <row r="3" spans="1:8" x14ac:dyDescent="0.25">
      <c r="A3" t="s">
        <v>10</v>
      </c>
      <c r="B3" t="s">
        <v>27</v>
      </c>
      <c r="C3" t="s">
        <v>63</v>
      </c>
      <c r="D3" t="s">
        <v>83</v>
      </c>
      <c r="E3" t="s">
        <v>103</v>
      </c>
      <c r="F3" s="5" t="s">
        <v>125</v>
      </c>
      <c r="G3" s="3" t="s">
        <v>27</v>
      </c>
      <c r="H3" s="5" t="s">
        <v>126</v>
      </c>
    </row>
    <row r="4" spans="1:8" x14ac:dyDescent="0.25">
      <c r="A4" t="s">
        <v>11</v>
      </c>
      <c r="B4" t="s">
        <v>28</v>
      </c>
      <c r="C4" t="s">
        <v>64</v>
      </c>
      <c r="D4" t="s">
        <v>84</v>
      </c>
      <c r="E4" t="s">
        <v>104</v>
      </c>
      <c r="F4" s="5" t="s">
        <v>127</v>
      </c>
      <c r="G4" s="5" t="s">
        <v>128</v>
      </c>
      <c r="H4" s="5" t="s">
        <v>129</v>
      </c>
    </row>
    <row r="5" spans="1:8" x14ac:dyDescent="0.25">
      <c r="A5" t="s">
        <v>45</v>
      </c>
      <c r="B5" t="s">
        <v>29</v>
      </c>
      <c r="C5" t="s">
        <v>65</v>
      </c>
      <c r="D5" t="s">
        <v>85</v>
      </c>
      <c r="E5" t="s">
        <v>105</v>
      </c>
      <c r="F5" s="5" t="s">
        <v>130</v>
      </c>
      <c r="G5" s="5" t="s">
        <v>131</v>
      </c>
      <c r="H5" s="5" t="s">
        <v>132</v>
      </c>
    </row>
    <row r="6" spans="1:8" x14ac:dyDescent="0.25">
      <c r="A6" t="s">
        <v>46</v>
      </c>
      <c r="B6" t="s">
        <v>12</v>
      </c>
      <c r="C6" t="s">
        <v>66</v>
      </c>
      <c r="D6" t="s">
        <v>86</v>
      </c>
      <c r="E6" t="s">
        <v>106</v>
      </c>
      <c r="F6" s="5" t="s">
        <v>133</v>
      </c>
      <c r="G6" s="5" t="s">
        <v>134</v>
      </c>
      <c r="H6" s="5" t="s">
        <v>135</v>
      </c>
    </row>
    <row r="7" spans="1:8" x14ac:dyDescent="0.25">
      <c r="A7" t="s">
        <v>47</v>
      </c>
      <c r="B7" t="s">
        <v>30</v>
      </c>
      <c r="C7" t="s">
        <v>67</v>
      </c>
      <c r="D7" t="s">
        <v>87</v>
      </c>
      <c r="E7" s="5" t="s">
        <v>107</v>
      </c>
      <c r="F7" s="5" t="s">
        <v>136</v>
      </c>
      <c r="G7" s="3" t="s">
        <v>137</v>
      </c>
      <c r="H7" s="5" t="s">
        <v>138</v>
      </c>
    </row>
    <row r="8" spans="1:8" x14ac:dyDescent="0.25">
      <c r="A8" t="s">
        <v>48</v>
      </c>
      <c r="B8" t="s">
        <v>31</v>
      </c>
      <c r="C8" t="s">
        <v>68</v>
      </c>
      <c r="D8" t="s">
        <v>88</v>
      </c>
      <c r="E8" t="s">
        <v>108</v>
      </c>
      <c r="F8" s="5" t="s">
        <v>139</v>
      </c>
      <c r="G8" s="5" t="s">
        <v>140</v>
      </c>
      <c r="H8" s="5" t="s">
        <v>141</v>
      </c>
    </row>
    <row r="9" spans="1:8" x14ac:dyDescent="0.25">
      <c r="A9" t="s">
        <v>49</v>
      </c>
      <c r="B9" t="s">
        <v>32</v>
      </c>
      <c r="C9" t="s">
        <v>69</v>
      </c>
      <c r="D9" t="s">
        <v>89</v>
      </c>
      <c r="E9" t="s">
        <v>109</v>
      </c>
      <c r="F9" s="5" t="s">
        <v>142</v>
      </c>
      <c r="G9" s="5" t="s">
        <v>143</v>
      </c>
      <c r="H9" s="5" t="s">
        <v>144</v>
      </c>
    </row>
    <row r="10" spans="1:8" x14ac:dyDescent="0.25">
      <c r="A10" t="s">
        <v>50</v>
      </c>
      <c r="B10" t="s">
        <v>33</v>
      </c>
      <c r="C10" t="s">
        <v>70</v>
      </c>
      <c r="D10" t="s">
        <v>90</v>
      </c>
      <c r="E10" t="s">
        <v>110</v>
      </c>
      <c r="F10" s="5" t="s">
        <v>145</v>
      </c>
      <c r="G10" s="5" t="s">
        <v>146</v>
      </c>
      <c r="H10" s="5" t="s">
        <v>147</v>
      </c>
    </row>
    <row r="11" spans="1:8" x14ac:dyDescent="0.25">
      <c r="A11" t="s">
        <v>51</v>
      </c>
      <c r="B11" t="s">
        <v>34</v>
      </c>
      <c r="C11" t="s">
        <v>71</v>
      </c>
      <c r="D11" t="s">
        <v>91</v>
      </c>
      <c r="E11" t="s">
        <v>111</v>
      </c>
      <c r="F11" s="5" t="s">
        <v>148</v>
      </c>
      <c r="G11" s="5" t="s">
        <v>149</v>
      </c>
      <c r="H11" s="5" t="s">
        <v>150</v>
      </c>
    </row>
    <row r="12" spans="1:8" x14ac:dyDescent="0.25">
      <c r="A12" t="s">
        <v>52</v>
      </c>
      <c r="B12" t="s">
        <v>35</v>
      </c>
      <c r="C12" t="s">
        <v>72</v>
      </c>
      <c r="D12" t="s">
        <v>92</v>
      </c>
      <c r="E12" t="s">
        <v>112</v>
      </c>
      <c r="F12" s="3" t="s">
        <v>151</v>
      </c>
      <c r="G12" s="5" t="s">
        <v>152</v>
      </c>
      <c r="H12" s="5" t="s">
        <v>153</v>
      </c>
    </row>
    <row r="13" spans="1:8" x14ac:dyDescent="0.25">
      <c r="A13" t="s">
        <v>53</v>
      </c>
      <c r="B13" t="s">
        <v>36</v>
      </c>
      <c r="C13" t="s">
        <v>73</v>
      </c>
      <c r="D13" t="s">
        <v>93</v>
      </c>
      <c r="E13" s="5" t="s">
        <v>113</v>
      </c>
      <c r="F13" s="5" t="s">
        <v>154</v>
      </c>
      <c r="G13" s="3" t="s">
        <v>155</v>
      </c>
      <c r="H13" s="5" t="s">
        <v>156</v>
      </c>
    </row>
    <row r="14" spans="1:8" x14ac:dyDescent="0.25">
      <c r="A14" t="s">
        <v>54</v>
      </c>
      <c r="B14" t="s">
        <v>37</v>
      </c>
      <c r="C14" t="s">
        <v>74</v>
      </c>
      <c r="D14" t="s">
        <v>94</v>
      </c>
      <c r="E14" s="5" t="s">
        <v>114</v>
      </c>
      <c r="F14" s="3" t="s">
        <v>157</v>
      </c>
      <c r="G14" s="3" t="s">
        <v>158</v>
      </c>
      <c r="H14" s="3" t="s">
        <v>159</v>
      </c>
    </row>
    <row r="15" spans="1:8" x14ac:dyDescent="0.25">
      <c r="A15" t="s">
        <v>55</v>
      </c>
      <c r="B15" t="s">
        <v>38</v>
      </c>
      <c r="C15" t="s">
        <v>75</v>
      </c>
      <c r="D15" t="s">
        <v>95</v>
      </c>
      <c r="E15" t="s">
        <v>115</v>
      </c>
      <c r="F15" s="5" t="s">
        <v>160</v>
      </c>
      <c r="G15" s="5" t="s">
        <v>161</v>
      </c>
      <c r="H15" s="5" t="s">
        <v>162</v>
      </c>
    </row>
    <row r="16" spans="1:8" x14ac:dyDescent="0.25">
      <c r="A16" t="s">
        <v>56</v>
      </c>
      <c r="B16" t="s">
        <v>39</v>
      </c>
      <c r="C16" t="s">
        <v>76</v>
      </c>
      <c r="D16" t="s">
        <v>96</v>
      </c>
      <c r="E16" t="s">
        <v>116</v>
      </c>
      <c r="F16" s="5" t="s">
        <v>163</v>
      </c>
      <c r="G16" s="3" t="s">
        <v>164</v>
      </c>
      <c r="H16" s="5" t="s">
        <v>165</v>
      </c>
    </row>
    <row r="17" spans="1:8" x14ac:dyDescent="0.25">
      <c r="A17" t="s">
        <v>57</v>
      </c>
      <c r="B17" t="s">
        <v>40</v>
      </c>
      <c r="C17" t="s">
        <v>77</v>
      </c>
      <c r="D17" t="s">
        <v>97</v>
      </c>
      <c r="E17" t="s">
        <v>117</v>
      </c>
      <c r="F17" s="5" t="s">
        <v>166</v>
      </c>
      <c r="G17" s="5" t="s">
        <v>167</v>
      </c>
      <c r="H17" s="5" t="s">
        <v>168</v>
      </c>
    </row>
    <row r="18" spans="1:8" x14ac:dyDescent="0.25">
      <c r="A18" t="s">
        <v>58</v>
      </c>
      <c r="B18" t="s">
        <v>41</v>
      </c>
      <c r="C18" t="s">
        <v>78</v>
      </c>
      <c r="D18" t="s">
        <v>98</v>
      </c>
      <c r="E18" s="5" t="s">
        <v>118</v>
      </c>
      <c r="F18" s="5" t="s">
        <v>169</v>
      </c>
      <c r="G18" s="5" t="s">
        <v>170</v>
      </c>
      <c r="H18" s="5" t="s">
        <v>171</v>
      </c>
    </row>
    <row r="19" spans="1:8" x14ac:dyDescent="0.25">
      <c r="A19" t="s">
        <v>59</v>
      </c>
      <c r="B19" t="s">
        <v>42</v>
      </c>
      <c r="C19" t="s">
        <v>79</v>
      </c>
      <c r="D19" t="s">
        <v>99</v>
      </c>
      <c r="E19" t="s">
        <v>119</v>
      </c>
      <c r="F19" s="5" t="s">
        <v>172</v>
      </c>
      <c r="G19" s="5" t="s">
        <v>173</v>
      </c>
      <c r="H19" s="5" t="s">
        <v>174</v>
      </c>
    </row>
    <row r="20" spans="1:8" x14ac:dyDescent="0.25">
      <c r="A20" t="s">
        <v>60</v>
      </c>
      <c r="B20" t="s">
        <v>43</v>
      </c>
      <c r="C20" t="s">
        <v>80</v>
      </c>
      <c r="D20" t="s">
        <v>100</v>
      </c>
      <c r="E20" t="s">
        <v>120</v>
      </c>
      <c r="F20" s="5" t="s">
        <v>175</v>
      </c>
      <c r="G20" s="3" t="s">
        <v>176</v>
      </c>
      <c r="H20" s="5" t="s">
        <v>177</v>
      </c>
    </row>
    <row r="21" spans="1:8" x14ac:dyDescent="0.25">
      <c r="A21" t="s">
        <v>61</v>
      </c>
      <c r="B21" t="s">
        <v>44</v>
      </c>
      <c r="C21" t="s">
        <v>81</v>
      </c>
      <c r="D21" t="s">
        <v>101</v>
      </c>
      <c r="E21" t="s">
        <v>121</v>
      </c>
      <c r="F21" s="5" t="s">
        <v>178</v>
      </c>
      <c r="G21" s="5" t="s">
        <v>179</v>
      </c>
      <c r="H21" s="5" t="s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1CF5-C378-455E-8D6B-0B0438F699B6}">
  <dimension ref="A1:T48"/>
  <sheetViews>
    <sheetView zoomScaleNormal="10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18.28515625" bestFit="1" customWidth="1"/>
    <col min="4" max="4" width="19.42578125" bestFit="1" customWidth="1"/>
    <col min="5" max="5" width="18.28515625" customWidth="1"/>
    <col min="6" max="6" width="53.28515625" bestFit="1" customWidth="1"/>
    <col min="7" max="7" width="26.140625" bestFit="1" customWidth="1"/>
    <col min="8" max="8" width="20.28515625" customWidth="1"/>
    <col min="9" max="9" width="18.28515625" bestFit="1" customWidth="1"/>
    <col min="10" max="10" width="20.28515625" bestFit="1" customWidth="1"/>
    <col min="11" max="11" width="26.5703125" bestFit="1" customWidth="1"/>
    <col min="12" max="12" width="31.28515625" bestFit="1" customWidth="1"/>
    <col min="13" max="13" width="17" bestFit="1" customWidth="1"/>
    <col min="14" max="14" width="30.5703125" customWidth="1"/>
    <col min="15" max="15" width="34.7109375" bestFit="1" customWidth="1"/>
    <col min="16" max="16" width="24.7109375" bestFit="1" customWidth="1"/>
    <col min="17" max="17" width="31.5703125" bestFit="1" customWidth="1"/>
    <col min="18" max="18" width="17.7109375" bestFit="1" customWidth="1"/>
    <col min="19" max="19" width="13.7109375" bestFit="1" customWidth="1"/>
    <col min="20" max="20" width="16.5703125" bestFit="1" customWidth="1"/>
  </cols>
  <sheetData>
    <row r="1" spans="1:20" ht="17.25" thickBot="1" x14ac:dyDescent="0.3">
      <c r="A1" s="4" t="s">
        <v>13</v>
      </c>
      <c r="B1" s="4" t="s">
        <v>0</v>
      </c>
      <c r="C1" s="2" t="s">
        <v>1</v>
      </c>
      <c r="D1" s="4" t="s">
        <v>2</v>
      </c>
      <c r="E1" s="4" t="s">
        <v>3</v>
      </c>
      <c r="F1" s="4" t="s">
        <v>4</v>
      </c>
      <c r="G1" s="4" t="s">
        <v>14</v>
      </c>
      <c r="H1" s="4" t="s">
        <v>7</v>
      </c>
      <c r="I1" s="4" t="s">
        <v>15</v>
      </c>
      <c r="J1" s="13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13" t="s">
        <v>22</v>
      </c>
      <c r="Q1" s="4" t="s">
        <v>23</v>
      </c>
      <c r="R1" s="4" t="s">
        <v>24</v>
      </c>
      <c r="S1" s="4" t="s">
        <v>25</v>
      </c>
      <c r="T1" s="4" t="s">
        <v>26</v>
      </c>
    </row>
    <row r="2" spans="1:20" x14ac:dyDescent="0.25">
      <c r="A2" t="str">
        <f t="shared" ref="A2:A21" si="0">"LN-"&amp;TEXT(ROW()-1,"0000")</f>
        <v>LN-0001</v>
      </c>
      <c r="B2" t="s">
        <v>8</v>
      </c>
      <c r="C2" t="str">
        <f>_xlfn.XLOOKUP(tblLoans[[#This Row],[Client ID]],tblClients[Client ID],tblClients[Full Name],"")</f>
        <v>Kwame Asante</v>
      </c>
      <c r="D2" t="str">
        <f>_xlfn.XLOOKUP(tblLoans[[#This Row],[Client ID]],tblClients[Client ID],tblClients[National ID],"")</f>
        <v>GHA-100002</v>
      </c>
      <c r="E2" t="str">
        <f>_xlfn.XLOOKUP(tblLoans[[#This Row],[Client ID]],tblClients[Client ID],tblClients[Phone Number],"")</f>
        <v>024100002</v>
      </c>
      <c r="F2" t="str">
        <f>_xlfn.XLOOKUP(tblLoans[[#This Row],[Client ID]],tblClients[Client ID],tblClients[Address],"")</f>
        <v>House No. 12, Mango Street, East Legon, Accra</v>
      </c>
      <c r="G2" t="str">
        <f>_xlfn.XLOOKUP(tblLoans[[#This Row],[Client ID]],tblClients[Client ID],tblClients[Guarantor],"")</f>
        <v>Kwame Owusu</v>
      </c>
      <c r="H2" t="str">
        <f>_xlfn.XLOOKUP(tblLoans[[#This Row],[Client ID]],tblClients[Client ID],tblClients[Guarantor Phone],"")</f>
        <v>024 512 3481</v>
      </c>
      <c r="I2" s="7">
        <v>45672</v>
      </c>
      <c r="J2" s="14">
        <v>13500</v>
      </c>
      <c r="K2" s="11">
        <v>0.24</v>
      </c>
      <c r="L2">
        <v>6</v>
      </c>
      <c r="M2" s="8">
        <f t="shared" ref="M2:M21" si="1">EDATE(I2,L2)</f>
        <v>45853</v>
      </c>
      <c r="N2" s="12">
        <f t="shared" ref="N2:N21" si="2">O2/L2</f>
        <v>2255.4</v>
      </c>
      <c r="O2" s="12">
        <f t="shared" ref="O2:O21" si="3">J2*(1+K2/100)</f>
        <v>13532.4</v>
      </c>
      <c r="P2" s="14">
        <f>SUMIF(Repayments!C:C,A2,Repayments!E:E)</f>
        <v>2500</v>
      </c>
      <c r="Q2" s="12">
        <f>tblLoans[[#This Row],[Total Amount to Repay]]-tblLoans[[#This Row],[Amount Repaid]]</f>
        <v>11032.4</v>
      </c>
      <c r="R2" t="str">
        <f ca="1">IF(AND(tblLoans[[#This Row],[Outstanding Balance]]&gt;0,tblLoans[[#This Row],[Due Date]]-TODAY()&lt;=14,tblLoans[[#This Row],[Due Date]]&gt;=TODAY()),"Yes","No")</f>
        <v>No</v>
      </c>
      <c r="S2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3" spans="1:20" x14ac:dyDescent="0.25">
      <c r="A3" t="str">
        <f t="shared" si="0"/>
        <v>LN-0002</v>
      </c>
      <c r="B3" t="s">
        <v>10</v>
      </c>
      <c r="C3" t="str">
        <f>_xlfn.XLOOKUP(tblLoans[[#This Row],[Client ID]],tblClients[Client ID],tblClients[Full Name],"")</f>
        <v>Akosua Mensah</v>
      </c>
      <c r="D3" t="str">
        <f>_xlfn.XLOOKUP(tblLoans[[#This Row],[Client ID]],tblClients[Client ID],tblClients[National ID],"")</f>
        <v>GHA-100003</v>
      </c>
      <c r="E3" t="str">
        <f>_xlfn.XLOOKUP(tblLoans[[#This Row],[Client ID]],tblClients[Client ID],tblClients[Phone Number],"")</f>
        <v>024100003</v>
      </c>
      <c r="F3" t="str">
        <f>_xlfn.XLOOKUP(tblLoans[[#This Row],[Client ID]],tblClients[Client ID],tblClients[Address],"")</f>
        <v>Plot 45, Liberation Road,Adabraka, Accra</v>
      </c>
      <c r="G3" t="str">
        <f>_xlfn.XLOOKUP(tblLoans[[#This Row],[Client ID]],tblClients[Client ID],tblClients[Guarantor],"")</f>
        <v>Akosua Mensah</v>
      </c>
      <c r="H3" t="str">
        <f>_xlfn.XLOOKUP(tblLoans[[#This Row],[Client ID]],tblClients[Client ID],tblClients[Guarantor Phone],"")</f>
        <v>055 781 9246</v>
      </c>
      <c r="I3" s="7">
        <v>45685</v>
      </c>
      <c r="J3" s="14">
        <v>5000</v>
      </c>
      <c r="K3" s="11">
        <v>0.26500000000000001</v>
      </c>
      <c r="L3">
        <v>12</v>
      </c>
      <c r="M3" s="8">
        <f>EDATE(I3,L3)</f>
        <v>46050</v>
      </c>
      <c r="N3" s="12">
        <f t="shared" si="2"/>
        <v>417.77083333333331</v>
      </c>
      <c r="O3" s="12">
        <f t="shared" si="3"/>
        <v>5013.25</v>
      </c>
      <c r="P3" s="14">
        <f>SUMIF(Repayments!C:C,A3,Repayments!E:E)</f>
        <v>5100</v>
      </c>
      <c r="Q3" s="12">
        <f>tblLoans[[#This Row],[Total Amount to Repay]]-tblLoans[[#This Row],[Amount Repaid]]</f>
        <v>-86.75</v>
      </c>
      <c r="R3" t="str">
        <f ca="1">IF(AND(tblLoans[[#This Row],[Outstanding Balance]]&gt;0,tblLoans[[#This Row],[Due Date]]-TODAY()&lt;=14,tblLoans[[#This Row],[Due Date]]&gt;=TODAY()),"Yes","No")</f>
        <v>No</v>
      </c>
      <c r="S3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Completed</v>
      </c>
    </row>
    <row r="4" spans="1:20" x14ac:dyDescent="0.25">
      <c r="A4" t="str">
        <f t="shared" si="0"/>
        <v>LN-0003</v>
      </c>
      <c r="B4" t="s">
        <v>11</v>
      </c>
      <c r="C4" t="str">
        <f>_xlfn.XLOOKUP(tblLoans[[#This Row],[Client ID]],tblClients[Client ID],tblClients[Full Name],"")</f>
        <v>Kojo Owusu</v>
      </c>
      <c r="D4" t="str">
        <f>_xlfn.XLOOKUP(tblLoans[[#This Row],[Client ID]],tblClients[Client ID],tblClients[National ID],"")</f>
        <v>GHA-100004</v>
      </c>
      <c r="E4" t="str">
        <f>_xlfn.XLOOKUP(tblLoans[[#This Row],[Client ID]],tblClients[Client ID],tblClients[Phone Number],"")</f>
        <v>024100004</v>
      </c>
      <c r="F4" t="str">
        <f>_xlfn.XLOOKUP(tblLoans[[#This Row],[Client ID]],tblClients[Client ID],tblClients[Address],"")</f>
        <v>House No. 8, Anloga Junction, Kumasi</v>
      </c>
      <c r="G4" t="str">
        <f>_xlfn.XLOOKUP(tblLoans[[#This Row],[Client ID]],tblClients[Client ID],tblClients[Guarantor],"")</f>
        <v>Kofi Asante</v>
      </c>
      <c r="H4" t="str">
        <f>_xlfn.XLOOKUP(tblLoans[[#This Row],[Client ID]],tblClients[Client ID],tblClients[Guarantor Phone],"")</f>
        <v>020 663 5178</v>
      </c>
      <c r="I4" s="7">
        <v>45700</v>
      </c>
      <c r="J4" s="14">
        <v>8500</v>
      </c>
      <c r="K4" s="11">
        <v>0.28000000000000003</v>
      </c>
      <c r="L4">
        <v>9</v>
      </c>
      <c r="M4" s="8">
        <f>EDATE(I4,L4)</f>
        <v>45973</v>
      </c>
      <c r="N4" s="12">
        <f t="shared" si="2"/>
        <v>947.08888888888885</v>
      </c>
      <c r="O4" s="12">
        <f t="shared" si="3"/>
        <v>8523.7999999999993</v>
      </c>
      <c r="P4" s="14">
        <f>SUMIF(Repayments!C:C,A4,Repayments!E:E)</f>
        <v>6000</v>
      </c>
      <c r="Q4" s="12">
        <f>tblLoans[[#This Row],[Total Amount to Repay]]-tblLoans[[#This Row],[Amount Repaid]]</f>
        <v>2523.7999999999993</v>
      </c>
      <c r="R4" t="str">
        <f ca="1">IF(AND(tblLoans[[#This Row],[Outstanding Balance]]&gt;0,tblLoans[[#This Row],[Due Date]]-TODAY()&lt;=14,tblLoans[[#This Row],[Due Date]]&gt;=TODAY()),"Yes","No")</f>
        <v>No</v>
      </c>
      <c r="S4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5" spans="1:20" x14ac:dyDescent="0.25">
      <c r="A5" t="str">
        <f t="shared" si="0"/>
        <v>LN-0004</v>
      </c>
      <c r="B5" t="s">
        <v>45</v>
      </c>
      <c r="C5" t="str">
        <f>_xlfn.XLOOKUP(tblLoans[[#This Row],[Client ID]],tblClients[Client ID],tblClients[Full Name],"")</f>
        <v>Ama Serwaa</v>
      </c>
      <c r="D5" t="str">
        <f>_xlfn.XLOOKUP(tblLoans[[#This Row],[Client ID]],tblClients[Client ID],tblClients[National ID],"")</f>
        <v>GHA-100005</v>
      </c>
      <c r="E5" t="str">
        <f>_xlfn.XLOOKUP(tblLoans[[#This Row],[Client ID]],tblClients[Client ID],tblClients[Phone Number],"")</f>
        <v>024100005</v>
      </c>
      <c r="F5" t="str">
        <f>_xlfn.XLOOKUP(tblLoans[[#This Row],[Client ID]],tblClients[Client ID],tblClients[Address],"")</f>
        <v>Plot 19, Market Road, Techiman</v>
      </c>
      <c r="G5" t="str">
        <f>_xlfn.XLOOKUP(tblLoans[[#This Row],[Client ID]],tblClients[Client ID],tblClients[Guarantor],"")</f>
        <v>Yaw Boateng</v>
      </c>
      <c r="H5" t="str">
        <f>_xlfn.XLOOKUP(tblLoans[[#This Row],[Client ID]],tblClients[Client ID],tblClients[Guarantor Phone],"")</f>
        <v>054 238 6419</v>
      </c>
      <c r="I5" s="7">
        <v>45719</v>
      </c>
      <c r="J5" s="14">
        <v>12000</v>
      </c>
      <c r="K5" s="11">
        <v>0.255</v>
      </c>
      <c r="L5">
        <v>8</v>
      </c>
      <c r="M5" s="8">
        <f t="shared" si="1"/>
        <v>45964</v>
      </c>
      <c r="N5" s="12">
        <f t="shared" si="2"/>
        <v>1503.825</v>
      </c>
      <c r="O5" s="12">
        <f t="shared" si="3"/>
        <v>12030.6</v>
      </c>
      <c r="P5" s="14">
        <f>SUMIF(Repayments!C:C,A5,Repayments!E:E)</f>
        <v>12000</v>
      </c>
      <c r="Q5" s="12">
        <f>tblLoans[[#This Row],[Total Amount to Repay]]-tblLoans[[#This Row],[Amount Repaid]]</f>
        <v>30.600000000000364</v>
      </c>
      <c r="R5" t="str">
        <f ca="1">IF(AND(tblLoans[[#This Row],[Outstanding Balance]]&gt;0,tblLoans[[#This Row],[Due Date]]-TODAY()&lt;=14,tblLoans[[#This Row],[Due Date]]&gt;=TODAY()),"Yes","No")</f>
        <v>No</v>
      </c>
      <c r="S5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6" spans="1:20" x14ac:dyDescent="0.25">
      <c r="A6" t="str">
        <f t="shared" si="0"/>
        <v>LN-0005</v>
      </c>
      <c r="B6" t="s">
        <v>46</v>
      </c>
      <c r="C6" t="str">
        <f>_xlfn.XLOOKUP(tblLoans[[#This Row],[Client ID]],tblClients[Client ID],tblClients[Full Name],"")</f>
        <v>Kofi Boateng</v>
      </c>
      <c r="D6" t="str">
        <f>_xlfn.XLOOKUP(tblLoans[[#This Row],[Client ID]],tblClients[Client ID],tblClients[National ID],"")</f>
        <v>GHA-100006</v>
      </c>
      <c r="E6" t="str">
        <f>_xlfn.XLOOKUP(tblLoans[[#This Row],[Client ID]],tblClients[Client ID],tblClients[Phone Number],"")</f>
        <v>024100006</v>
      </c>
      <c r="F6" t="str">
        <f>_xlfn.XLOOKUP(tblLoans[[#This Row],[Client ID]],tblClients[Client ID],tblClients[Address],"")</f>
        <v>House No. 27, Palm Lane, Effiakuma</v>
      </c>
      <c r="G6" t="str">
        <f>_xlfn.XLOOKUP(tblLoans[[#This Row],[Client ID]],tblClients[Client ID],tblClients[Guarantor],"")</f>
        <v>Abena Ofori</v>
      </c>
      <c r="H6" t="str">
        <f>_xlfn.XLOOKUP(tblLoans[[#This Row],[Client ID]],tblClients[Client ID],tblClients[Guarantor Phone],"")</f>
        <v>027 845 1936</v>
      </c>
      <c r="I6" s="7">
        <v>45737</v>
      </c>
      <c r="J6" s="14">
        <v>15000</v>
      </c>
      <c r="K6" s="11">
        <v>0.3</v>
      </c>
      <c r="L6">
        <v>10</v>
      </c>
      <c r="M6" s="8">
        <f t="shared" si="1"/>
        <v>46043</v>
      </c>
      <c r="N6" s="12">
        <f t="shared" si="2"/>
        <v>1504.4999999999998</v>
      </c>
      <c r="O6" s="12">
        <f t="shared" si="3"/>
        <v>15044.999999999998</v>
      </c>
      <c r="P6" s="14">
        <f>SUMIF(Repayments!C:C,A6,Repayments!E:E)</f>
        <v>2600</v>
      </c>
      <c r="Q6" s="12">
        <f>tblLoans[[#This Row],[Total Amount to Repay]]-tblLoans[[#This Row],[Amount Repaid]]</f>
        <v>12444.999999999998</v>
      </c>
      <c r="R6" t="str">
        <f ca="1">IF(AND(tblLoans[[#This Row],[Outstanding Balance]]&gt;0,tblLoans[[#This Row],[Due Date]]-TODAY()&lt;=14,tblLoans[[#This Row],[Due Date]]&gt;=TODAY()),"Yes","No")</f>
        <v>No</v>
      </c>
      <c r="S6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7" spans="1:20" x14ac:dyDescent="0.25">
      <c r="A7" t="str">
        <f t="shared" si="0"/>
        <v>LN-0006</v>
      </c>
      <c r="B7" t="s">
        <v>47</v>
      </c>
      <c r="C7" t="str">
        <f>_xlfn.XLOOKUP(tblLoans[[#This Row],[Client ID]],tblClients[Client ID],tblClients[Full Name],"")</f>
        <v>Abena Nyarko</v>
      </c>
      <c r="D7" t="str">
        <f>_xlfn.XLOOKUP(tblLoans[[#This Row],[Client ID]],tblClients[Client ID],tblClients[National ID],"")</f>
        <v>GHA-100007</v>
      </c>
      <c r="E7" t="str">
        <f>_xlfn.XLOOKUP(tblLoans[[#This Row],[Client ID]],tblClients[Client ID],tblClients[Phone Number],"")</f>
        <v>024100007</v>
      </c>
      <c r="F7" t="str">
        <f>_xlfn.XLOOKUP(tblLoans[[#This Row],[Client ID]],tblClients[Client ID],tblClients[Address],"")</f>
        <v>Plot 34, Zongo Road, Tamale Central</v>
      </c>
      <c r="G7" t="str">
        <f>_xlfn.XLOOKUP(tblLoans[[#This Row],[Client ID]],tblClients[Client ID],tblClients[Guarantor],"")</f>
        <v>Ibrahim Fuseini</v>
      </c>
      <c r="H7" t="str">
        <f>_xlfn.XLOOKUP(tblLoans[[#This Row],[Client ID]],tblClients[Client ID],tblClients[Guarantor Phone],"")</f>
        <v>059 416 7582</v>
      </c>
      <c r="I7" s="7">
        <v>45761</v>
      </c>
      <c r="J7" s="14">
        <v>6500</v>
      </c>
      <c r="K7" s="11">
        <v>0.22500000000000001</v>
      </c>
      <c r="L7">
        <v>5</v>
      </c>
      <c r="M7" s="8">
        <f t="shared" si="1"/>
        <v>45914</v>
      </c>
      <c r="N7" s="12">
        <f t="shared" si="2"/>
        <v>1302.9250000000002</v>
      </c>
      <c r="O7" s="12">
        <f t="shared" si="3"/>
        <v>6514.6250000000009</v>
      </c>
      <c r="P7" s="14">
        <f>SUMIF(Repayments!C:C,A7,Repayments!E:E)</f>
        <v>15000</v>
      </c>
      <c r="Q7" s="12">
        <f>tblLoans[[#This Row],[Total Amount to Repay]]-tblLoans[[#This Row],[Amount Repaid]]</f>
        <v>-8485.375</v>
      </c>
      <c r="R7" t="str">
        <f ca="1">IF(AND(tblLoans[[#This Row],[Outstanding Balance]]&gt;0,tblLoans[[#This Row],[Due Date]]-TODAY()&lt;=14,tblLoans[[#This Row],[Due Date]]&gt;=TODAY()),"Yes","No")</f>
        <v>No</v>
      </c>
      <c r="S7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Completed</v>
      </c>
    </row>
    <row r="8" spans="1:20" x14ac:dyDescent="0.25">
      <c r="A8" t="str">
        <f t="shared" si="0"/>
        <v>LN-0007</v>
      </c>
      <c r="B8" t="s">
        <v>48</v>
      </c>
      <c r="C8" t="str">
        <f>_xlfn.XLOOKUP(tblLoans[[#This Row],[Client ID]],tblClients[Client ID],tblClients[Full Name],"")</f>
        <v>Yaw Appiah</v>
      </c>
      <c r="D8" t="str">
        <f>_xlfn.XLOOKUP(tblLoans[[#This Row],[Client ID]],tblClients[Client ID],tblClients[National ID],"")</f>
        <v>GHA-100008</v>
      </c>
      <c r="E8" t="str">
        <f>_xlfn.XLOOKUP(tblLoans[[#This Row],[Client ID]],tblClients[Client ID],tblClients[Phone Number],"")</f>
        <v>024100008</v>
      </c>
      <c r="F8" t="str">
        <f>_xlfn.XLOOKUP(tblLoans[[#This Row],[Client ID]],tblClients[Client ID],tblClients[Address],"")</f>
        <v>House No. 15, Lakeside Avenue, Koforidua New Juaben</v>
      </c>
      <c r="G8" t="str">
        <f>_xlfn.XLOOKUP(tblLoans[[#This Row],[Client ID]],tblClients[Client ID],tblClients[Guarantor],"")</f>
        <v>Ama Nyarko</v>
      </c>
      <c r="H8" t="str">
        <f>_xlfn.XLOOKUP(tblLoans[[#This Row],[Client ID]],tblClients[Client ID],tblClients[Guarantor Phone],"")</f>
        <v>024 983 2641</v>
      </c>
      <c r="I8" s="7">
        <v>45786</v>
      </c>
      <c r="J8" s="14">
        <v>20000</v>
      </c>
      <c r="K8" s="11">
        <v>0.27</v>
      </c>
      <c r="L8">
        <v>3</v>
      </c>
      <c r="M8" s="8">
        <f t="shared" si="1"/>
        <v>45878</v>
      </c>
      <c r="N8" s="12">
        <f t="shared" si="2"/>
        <v>6684.666666666667</v>
      </c>
      <c r="O8" s="12">
        <f t="shared" si="3"/>
        <v>20054</v>
      </c>
      <c r="P8" s="14">
        <f>SUMIF(Repayments!C:C,A8,Repayments!E:E)</f>
        <v>7500</v>
      </c>
      <c r="Q8" s="12">
        <f>tblLoans[[#This Row],[Total Amount to Repay]]-tblLoans[[#This Row],[Amount Repaid]]</f>
        <v>12554</v>
      </c>
      <c r="R8" t="str">
        <f ca="1">IF(AND(tblLoans[[#This Row],[Outstanding Balance]]&gt;0,tblLoans[[#This Row],[Due Date]]-TODAY()&lt;=14,tblLoans[[#This Row],[Due Date]]&gt;=TODAY()),"Yes","No")</f>
        <v>No</v>
      </c>
      <c r="S8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9" spans="1:20" x14ac:dyDescent="0.25">
      <c r="A9" t="str">
        <f t="shared" si="0"/>
        <v>LN-0008</v>
      </c>
      <c r="B9" t="s">
        <v>49</v>
      </c>
      <c r="C9" t="str">
        <f>_xlfn.XLOOKUP(tblLoans[[#This Row],[Client ID]],tblClients[Client ID],tblClients[Full Name],"")</f>
        <v>Efua Amoah</v>
      </c>
      <c r="D9" t="str">
        <f>_xlfn.XLOOKUP(tblLoans[[#This Row],[Client ID]],tblClients[Client ID],tblClients[National ID],"")</f>
        <v>GHA-100009</v>
      </c>
      <c r="E9" t="str">
        <f>_xlfn.XLOOKUP(tblLoans[[#This Row],[Client ID]],tblClients[Client ID],tblClients[Phone Number],"")</f>
        <v>024100009</v>
      </c>
      <c r="F9" t="str">
        <f>_xlfn.XLOOKUP(tblLoans[[#This Row],[Client ID]],tblClients[Client ID],tblClients[Address],"")</f>
        <v>Plot 52, Independence Street, Ho Bankoe</v>
      </c>
      <c r="G9" t="str">
        <f>_xlfn.XLOOKUP(tblLoans[[#This Row],[Client ID]],tblClients[Client ID],tblClients[Guarantor],"")</f>
        <v>Comfort Adjei</v>
      </c>
      <c r="H9" t="str">
        <f>_xlfn.XLOOKUP(tblLoans[[#This Row],[Client ID]],tblClients[Client ID],tblClients[Guarantor Phone],"")</f>
        <v>050 741 3859</v>
      </c>
      <c r="I9" s="7">
        <v>45804</v>
      </c>
      <c r="J9" s="14">
        <v>10000</v>
      </c>
      <c r="K9" s="11">
        <v>0.315</v>
      </c>
      <c r="L9">
        <v>2</v>
      </c>
      <c r="M9" s="8">
        <f t="shared" si="1"/>
        <v>45865</v>
      </c>
      <c r="N9" s="12">
        <f t="shared" si="2"/>
        <v>5015.75</v>
      </c>
      <c r="O9" s="12">
        <f t="shared" si="3"/>
        <v>10031.5</v>
      </c>
      <c r="P9" s="14">
        <f>SUMIF(Repayments!C:C,A9,Repayments!E:E)</f>
        <v>1350</v>
      </c>
      <c r="Q9" s="12">
        <f>tblLoans[[#This Row],[Total Amount to Repay]]-tblLoans[[#This Row],[Amount Repaid]]</f>
        <v>8681.5</v>
      </c>
      <c r="R9" t="str">
        <f ca="1">IF(AND(tblLoans[[#This Row],[Outstanding Balance]]&gt;0,tblLoans[[#This Row],[Due Date]]-TODAY()&lt;=14,tblLoans[[#This Row],[Due Date]]&gt;=TODAY()),"Yes","No")</f>
        <v>No</v>
      </c>
      <c r="S9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10" spans="1:20" x14ac:dyDescent="0.25">
      <c r="A10" t="str">
        <f t="shared" si="0"/>
        <v>LN-0009</v>
      </c>
      <c r="B10" t="s">
        <v>50</v>
      </c>
      <c r="C10" t="str">
        <f>_xlfn.XLOOKUP(tblLoans[[#This Row],[Client ID]],tblClients[Client ID],tblClients[Full Name],"")</f>
        <v>Emmanuel Osei</v>
      </c>
      <c r="D10" t="str">
        <f>_xlfn.XLOOKUP(tblLoans[[#This Row],[Client ID]],tblClients[Client ID],tblClients[National ID],"")</f>
        <v>GHA-100010</v>
      </c>
      <c r="E10" t="str">
        <f>_xlfn.XLOOKUP(tblLoans[[#This Row],[Client ID]],tblClients[Client ID],tblClients[Phone Number],"")</f>
        <v>024100010</v>
      </c>
      <c r="F10" t="str">
        <f>_xlfn.XLOOKUP(tblLoans[[#This Row],[Client ID]],tblClients[Client ID],tblClients[Address],"")</f>
        <v>House No. 10, Coconut Grove, Cape Coast North</v>
      </c>
      <c r="G10" t="str">
        <f>_xlfn.XLOOKUP(tblLoans[[#This Row],[Client ID]],tblClients[Client ID],tblClients[Guarantor],"")</f>
        <v>Kojo Essien</v>
      </c>
      <c r="H10" t="str">
        <f>_xlfn.XLOOKUP(tblLoans[[#This Row],[Client ID]],tblClients[Client ID],tblClients[Guarantor Phone],"")</f>
        <v>055 692 8147</v>
      </c>
      <c r="I10" s="7">
        <v>45826</v>
      </c>
      <c r="J10" s="14">
        <v>4500</v>
      </c>
      <c r="K10" s="11">
        <v>0.28999999999999998</v>
      </c>
      <c r="L10">
        <v>1</v>
      </c>
      <c r="M10" s="8">
        <f t="shared" si="1"/>
        <v>45856</v>
      </c>
      <c r="N10" s="12">
        <f t="shared" si="2"/>
        <v>4513.0499999999993</v>
      </c>
      <c r="O10" s="12">
        <f t="shared" si="3"/>
        <v>4513.0499999999993</v>
      </c>
      <c r="P10" s="14">
        <f>SUMIF(Repayments!C:C,A10,Repayments!E:E)</f>
        <v>3900</v>
      </c>
      <c r="Q10" s="12">
        <f>tblLoans[[#This Row],[Total Amount to Repay]]-tblLoans[[#This Row],[Amount Repaid]]</f>
        <v>613.04999999999927</v>
      </c>
      <c r="R10" t="str">
        <f ca="1">IF(AND(tblLoans[[#This Row],[Outstanding Balance]]&gt;0,tblLoans[[#This Row],[Due Date]]-TODAY()&lt;=14,tblLoans[[#This Row],[Due Date]]&gt;=TODAY()),"Yes","No")</f>
        <v>No</v>
      </c>
      <c r="S10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11" spans="1:20" x14ac:dyDescent="0.25">
      <c r="A11" t="str">
        <f t="shared" si="0"/>
        <v>LN-0010</v>
      </c>
      <c r="B11" t="s">
        <v>51</v>
      </c>
      <c r="C11" t="str">
        <f>_xlfn.XLOOKUP(tblLoans[[#This Row],[Client ID]],tblClients[Client ID],tblClients[Full Name],"")</f>
        <v>Grace Asiedu</v>
      </c>
      <c r="D11" t="str">
        <f>_xlfn.XLOOKUP(tblLoans[[#This Row],[Client ID]],tblClients[Client ID],tblClients[National ID],"")</f>
        <v>GHA-100011</v>
      </c>
      <c r="E11" t="str">
        <f>_xlfn.XLOOKUP(tblLoans[[#This Row],[Client ID]],tblClients[Client ID],tblClients[Phone Number],"")</f>
        <v>024100011</v>
      </c>
      <c r="F11" t="str">
        <f>_xlfn.XLOOKUP(tblLoans[[#This Row],[Client ID]],tblClients[Client ID],tblClients[Address],"")</f>
        <v>Plot 7, Hospital Road, Wa Central</v>
      </c>
      <c r="G11" t="str">
        <f>_xlfn.XLOOKUP(tblLoans[[#This Row],[Client ID]],tblClients[Client ID],tblClients[Guarantor],"")</f>
        <v>Samuel Badu</v>
      </c>
      <c r="H11" t="str">
        <f>_xlfn.XLOOKUP(tblLoans[[#This Row],[Client ID]],tblClients[Client ID],tblClients[Guarantor Phone],"")</f>
        <v>020 518 4793</v>
      </c>
      <c r="I11" s="7">
        <v>45849</v>
      </c>
      <c r="J11" s="14">
        <v>7800</v>
      </c>
      <c r="K11" s="11">
        <v>0.23</v>
      </c>
      <c r="L11">
        <v>4</v>
      </c>
      <c r="M11" s="8">
        <f t="shared" si="1"/>
        <v>45972</v>
      </c>
      <c r="N11" s="12">
        <f t="shared" si="2"/>
        <v>1954.4849999999999</v>
      </c>
      <c r="O11" s="12">
        <f t="shared" si="3"/>
        <v>7817.94</v>
      </c>
      <c r="P11" s="14">
        <f>SUMIF(Repayments!C:C,A11,Repayments!E:E)</f>
        <v>9000</v>
      </c>
      <c r="Q11" s="12">
        <f>tblLoans[[#This Row],[Total Amount to Repay]]-tblLoans[[#This Row],[Amount Repaid]]</f>
        <v>-1182.0600000000004</v>
      </c>
      <c r="R11" t="str">
        <f ca="1">IF(AND(tblLoans[[#This Row],[Outstanding Balance]]&gt;0,tblLoans[[#This Row],[Due Date]]-TODAY()&lt;=14,tblLoans[[#This Row],[Due Date]]&gt;=TODAY()),"Yes","No")</f>
        <v>No</v>
      </c>
      <c r="S11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Completed</v>
      </c>
    </row>
    <row r="12" spans="1:20" x14ac:dyDescent="0.25">
      <c r="A12" t="str">
        <f t="shared" si="0"/>
        <v>LN-0011</v>
      </c>
      <c r="B12" t="s">
        <v>52</v>
      </c>
      <c r="C12" t="str">
        <f>_xlfn.XLOOKUP(tblLoans[[#This Row],[Client ID]],tblClients[Client ID],tblClients[Full Name],"")</f>
        <v>Daniel Mensah</v>
      </c>
      <c r="D12" t="str">
        <f>_xlfn.XLOOKUP(tblLoans[[#This Row],[Client ID]],tblClients[Client ID],tblClients[National ID],"")</f>
        <v>GHA-100012</v>
      </c>
      <c r="E12" t="str">
        <f>_xlfn.XLOOKUP(tblLoans[[#This Row],[Client ID]],tblClients[Client ID],tblClients[Phone Number],"")</f>
        <v>024100012</v>
      </c>
      <c r="F12" t="str">
        <f>_xlfn.XLOOKUP(tblLoans[[#This Row],[Client ID]],tblClients[Client ID],tblClients[Address],"")</f>
        <v>House No. 41, Green Hill Street, Bolgatanga East</v>
      </c>
      <c r="G12" t="str">
        <f>_xlfn.XLOOKUP(tblLoans[[#This Row],[Client ID]],tblClients[Client ID],tblClients[Guarantor],"")</f>
        <v>Patricia Akoto</v>
      </c>
      <c r="H12" t="str">
        <f>_xlfn.XLOOKUP(tblLoans[[#This Row],[Client ID]],tblClients[Client ID],tblClients[Guarantor Phone],"")</f>
        <v>054 832 7165</v>
      </c>
      <c r="I12" s="7">
        <v>45894</v>
      </c>
      <c r="J12" s="14">
        <v>18000</v>
      </c>
      <c r="K12" s="11">
        <v>0.32</v>
      </c>
      <c r="L12">
        <v>7</v>
      </c>
      <c r="M12" s="8">
        <f t="shared" si="1"/>
        <v>46106</v>
      </c>
      <c r="N12" s="12">
        <f t="shared" si="2"/>
        <v>2579.6571428571433</v>
      </c>
      <c r="O12" s="12">
        <f t="shared" si="3"/>
        <v>18057.600000000002</v>
      </c>
      <c r="P12" s="14">
        <f>SUMIF(Repayments!C:C,A12,Repayments!E:E)</f>
        <v>1750</v>
      </c>
      <c r="Q12" s="12">
        <f>tblLoans[[#This Row],[Total Amount to Repay]]-tblLoans[[#This Row],[Amount Repaid]]</f>
        <v>16307.600000000002</v>
      </c>
      <c r="R12" t="str">
        <f ca="1">IF(AND(tblLoans[[#This Row],[Outstanding Balance]]&gt;0,tblLoans[[#This Row],[Due Date]]-TODAY()&lt;=14,tblLoans[[#This Row],[Due Date]]&gt;=TODAY()),"Yes","No")</f>
        <v>No</v>
      </c>
      <c r="S12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13" spans="1:20" x14ac:dyDescent="0.25">
      <c r="A13" t="str">
        <f t="shared" si="0"/>
        <v>LN-0012</v>
      </c>
      <c r="B13" t="s">
        <v>53</v>
      </c>
      <c r="C13" t="str">
        <f>_xlfn.XLOOKUP(tblLoans[[#This Row],[Client ID]],tblClients[Client ID],tblClients[Full Name],"")</f>
        <v>Patricia Baah</v>
      </c>
      <c r="D13" t="str">
        <f>_xlfn.XLOOKUP(tblLoans[[#This Row],[Client ID]],tblClients[Client ID],tblClients[National ID],"")</f>
        <v>GHA-100013</v>
      </c>
      <c r="E13" t="str">
        <f>_xlfn.XLOOKUP(tblLoans[[#This Row],[Client ID]],tblClients[Client ID],tblClients[Phone Number],"")</f>
        <v>024100013</v>
      </c>
      <c r="F13" t="str">
        <f>_xlfn.XLOOKUP(tblLoans[[#This Row],[Client ID]],tblClients[Client ID],tblClients[Address],"")</f>
        <v>Plot 29, Community 11 Road, Tema Community 11</v>
      </c>
      <c r="G13" t="str">
        <f>_xlfn.XLOOKUP(tblLoans[[#This Row],[Client ID]],tblClients[Client ID],tblClients[Guarantor],"")</f>
        <v>Josephine Quaye</v>
      </c>
      <c r="H13" t="str">
        <f>_xlfn.XLOOKUP(tblLoans[[#This Row],[Client ID]],tblClients[Client ID],tblClients[Guarantor Phone],"")</f>
        <v>027 604 9281</v>
      </c>
      <c r="I13" s="7">
        <v>45916</v>
      </c>
      <c r="J13" s="14">
        <v>3500</v>
      </c>
      <c r="K13" s="11">
        <v>0.22</v>
      </c>
      <c r="L13">
        <v>11</v>
      </c>
      <c r="M13" s="8">
        <f t="shared" si="1"/>
        <v>46250</v>
      </c>
      <c r="N13" s="12">
        <f t="shared" si="2"/>
        <v>318.88181818181818</v>
      </c>
      <c r="O13" s="12">
        <f t="shared" si="3"/>
        <v>3507.7</v>
      </c>
      <c r="P13" s="14">
        <f>SUMIF(Repayments!C:C,A13,Repayments!E:E)</f>
        <v>20000</v>
      </c>
      <c r="Q13" s="12">
        <f>tblLoans[[#This Row],[Total Amount to Repay]]-tblLoans[[#This Row],[Amount Repaid]]</f>
        <v>-16492.3</v>
      </c>
      <c r="R13" t="str">
        <f ca="1">IF(AND(tblLoans[[#This Row],[Outstanding Balance]]&gt;0,tblLoans[[#This Row],[Due Date]]-TODAY()&lt;=14,tblLoans[[#This Row],[Due Date]]&gt;=TODAY()),"Yes","No")</f>
        <v>No</v>
      </c>
      <c r="S13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Completed</v>
      </c>
    </row>
    <row r="14" spans="1:20" x14ac:dyDescent="0.25">
      <c r="A14" t="str">
        <f t="shared" si="0"/>
        <v>LN-0013</v>
      </c>
      <c r="B14" t="s">
        <v>54</v>
      </c>
      <c r="C14" t="str">
        <f>_xlfn.XLOOKUP(tblLoans[[#This Row],[Client ID]],tblClients[Client ID],tblClients[Full Name],"")</f>
        <v>Richard Arthur</v>
      </c>
      <c r="D14" t="str">
        <f>_xlfn.XLOOKUP(tblLoans[[#This Row],[Client ID]],tblClients[Client ID],tblClients[National ID],"")</f>
        <v>GHA-100014</v>
      </c>
      <c r="E14" t="str">
        <f>_xlfn.XLOOKUP(tblLoans[[#This Row],[Client ID]],tblClients[Client ID],tblClients[Phone Number],"")</f>
        <v>024100014</v>
      </c>
      <c r="F14" t="str">
        <f>_xlfn.XLOOKUP(tblLoans[[#This Row],[Client ID]],tblClients[Client ID],tblClients[Address],"")</f>
        <v>House No. 18, Cocoa Road, Sunyani Magazine</v>
      </c>
      <c r="G14" t="str">
        <f>_xlfn.XLOOKUP(tblLoans[[#This Row],[Client ID]],tblClients[Client ID],tblClients[Guarantor],"")</f>
        <v>Daniel Kyeremeh</v>
      </c>
      <c r="H14" t="str">
        <f>_xlfn.XLOOKUP(tblLoans[[#This Row],[Client ID]],tblClients[Client ID],tblClients[Guarantor Phone],"")</f>
        <v>024 357 1864</v>
      </c>
      <c r="I14" s="7">
        <v>45938</v>
      </c>
      <c r="J14" s="14">
        <v>25000</v>
      </c>
      <c r="K14" s="11">
        <v>0.26</v>
      </c>
      <c r="L14">
        <v>9</v>
      </c>
      <c r="M14" s="8">
        <f t="shared" si="1"/>
        <v>46211</v>
      </c>
      <c r="N14" s="12">
        <f t="shared" si="2"/>
        <v>2785</v>
      </c>
      <c r="O14" s="12">
        <f t="shared" si="3"/>
        <v>25065</v>
      </c>
      <c r="P14" s="14">
        <f>SUMIF(Repayments!C:C,A14,Repayments!E:E)</f>
        <v>8400</v>
      </c>
      <c r="Q14" s="12">
        <f>tblLoans[[#This Row],[Total Amount to Repay]]-tblLoans[[#This Row],[Amount Repaid]]</f>
        <v>16665</v>
      </c>
      <c r="R14" t="str">
        <f ca="1">IF(AND(tblLoans[[#This Row],[Outstanding Balance]]&gt;0,tblLoans[[#This Row],[Due Date]]-TODAY()&lt;=14,tblLoans[[#This Row],[Due Date]]&gt;=TODAY()),"Yes","No")</f>
        <v>No</v>
      </c>
      <c r="S14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Overdue</v>
      </c>
    </row>
    <row r="15" spans="1:20" x14ac:dyDescent="0.25">
      <c r="A15" t="str">
        <f t="shared" si="0"/>
        <v>LN-0014</v>
      </c>
      <c r="B15" t="s">
        <v>55</v>
      </c>
      <c r="C15" t="str">
        <f>_xlfn.XLOOKUP(tblLoans[[#This Row],[Client ID]],tblClients[Client ID],tblClients[Full Name],"")</f>
        <v>Linda Opoku</v>
      </c>
      <c r="D15" t="str">
        <f>_xlfn.XLOOKUP(tblLoans[[#This Row],[Client ID]],tblClients[Client ID],tblClients[National ID],"")</f>
        <v>GHA-100015</v>
      </c>
      <c r="E15" t="str">
        <f>_xlfn.XLOOKUP(tblLoans[[#This Row],[Client ID]],tblClients[Client ID],tblClients[Phone Number],"")</f>
        <v>024100015</v>
      </c>
      <c r="F15" t="str">
        <f>_xlfn.XLOOKUP(tblLoans[[#This Row],[Client ID]],tblClients[Client ID],tblClients[Address],"")</f>
        <v>Plot 63, Riverside Drive, Sogakope</v>
      </c>
      <c r="G15" t="str">
        <f>_xlfn.XLOOKUP(tblLoans[[#This Row],[Client ID]],tblClients[Client ID],tblClients[Guarantor],"")</f>
        <v>Francisca Agbeko</v>
      </c>
      <c r="H15" t="str">
        <f>_xlfn.XLOOKUP(tblLoans[[#This Row],[Client ID]],tblClients[Client ID],tblClients[Guarantor Phone],"")</f>
        <v>050 923 4715</v>
      </c>
      <c r="I15" s="7">
        <v>45980</v>
      </c>
      <c r="J15" s="14">
        <v>14000</v>
      </c>
      <c r="K15" s="11">
        <v>0.28499999999999998</v>
      </c>
      <c r="L15">
        <v>6</v>
      </c>
      <c r="M15" s="8">
        <f t="shared" si="1"/>
        <v>46161</v>
      </c>
      <c r="N15" s="12">
        <f t="shared" si="2"/>
        <v>2339.9833333333331</v>
      </c>
      <c r="O15" s="12">
        <f t="shared" si="3"/>
        <v>14039.9</v>
      </c>
      <c r="P15" s="14">
        <f>SUMIF(Repayments!C:C,A15,Repayments!E:E)</f>
        <v>4500</v>
      </c>
      <c r="Q15" s="12">
        <f>tblLoans[[#This Row],[Total Amount to Repay]]-tblLoans[[#This Row],[Amount Repaid]]</f>
        <v>9539.9</v>
      </c>
      <c r="R15" t="str">
        <f ca="1">IF(AND(tblLoans[[#This Row],[Outstanding Balance]]&gt;0,tblLoans[[#This Row],[Due Date]]-TODAY()&lt;=14,tblLoans[[#This Row],[Due Date]]&gt;=TODAY()),"Yes","No")</f>
        <v>No</v>
      </c>
      <c r="S15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16" spans="1:20" x14ac:dyDescent="0.25">
      <c r="A16" t="str">
        <f t="shared" si="0"/>
        <v>LN-0015</v>
      </c>
      <c r="B16" t="s">
        <v>56</v>
      </c>
      <c r="C16" t="str">
        <f>_xlfn.XLOOKUP(tblLoans[[#This Row],[Client ID]],tblClients[Client ID],tblClients[Full Name],"")</f>
        <v>Samuel Addo</v>
      </c>
      <c r="D16" t="str">
        <f>_xlfn.XLOOKUP(tblLoans[[#This Row],[Client ID]],tblClients[Client ID],tblClients[National ID],"")</f>
        <v>GHA-100016</v>
      </c>
      <c r="E16" t="str">
        <f>_xlfn.XLOOKUP(tblLoans[[#This Row],[Client ID]],tblClients[Client ID],tblClients[Phone Number],"")</f>
        <v>024100016</v>
      </c>
      <c r="F16" t="str">
        <f>_xlfn.XLOOKUP(tblLoans[[#This Row],[Client ID]],tblClients[Client ID],tblClients[Address],"")</f>
        <v>House No. 22, Freedom Avenue, Kasoa Opeikuma</v>
      </c>
      <c r="G16" t="str">
        <f>_xlfn.XLOOKUP(tblLoans[[#This Row],[Client ID]],tblClients[Client ID],tblClients[Guarantor],"")</f>
        <v>Ebenezer Lamptey</v>
      </c>
      <c r="H16" t="str">
        <f>_xlfn.XLOOKUP(tblLoans[[#This Row],[Client ID]],tblClients[Client ID],tblClients[Guarantor Phone],"")</f>
        <v>059 742 1638</v>
      </c>
      <c r="I16" s="7">
        <v>46006</v>
      </c>
      <c r="J16" s="14">
        <v>9000</v>
      </c>
      <c r="K16" s="11">
        <v>0.27500000000000002</v>
      </c>
      <c r="L16">
        <v>3</v>
      </c>
      <c r="M16" s="8">
        <f t="shared" si="1"/>
        <v>46096</v>
      </c>
      <c r="N16" s="12">
        <f t="shared" si="2"/>
        <v>3008.25</v>
      </c>
      <c r="O16" s="12">
        <f t="shared" si="3"/>
        <v>9024.75</v>
      </c>
      <c r="P16" s="14">
        <f>SUMIF(Repayments!C:C,A16,Repayments!E:E)</f>
        <v>6900</v>
      </c>
      <c r="Q16" s="12">
        <f>tblLoans[[#This Row],[Total Amount to Repay]]-tblLoans[[#This Row],[Amount Repaid]]</f>
        <v>2124.75</v>
      </c>
      <c r="R16" t="str">
        <f ca="1">IF(AND(tblLoans[[#This Row],[Outstanding Balance]]&gt;0,tblLoans[[#This Row],[Due Date]]-TODAY()&lt;=14,tblLoans[[#This Row],[Due Date]]&gt;=TODAY()),"Yes","No")</f>
        <v>No</v>
      </c>
      <c r="S16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Defaulted</v>
      </c>
    </row>
    <row r="17" spans="1:19" x14ac:dyDescent="0.25">
      <c r="A17" t="str">
        <f t="shared" si="0"/>
        <v>LN-0016</v>
      </c>
      <c r="B17" t="s">
        <v>57</v>
      </c>
      <c r="C17" t="str">
        <f>_xlfn.XLOOKUP(tblLoans[[#This Row],[Client ID]],tblClients[Client ID],tblClients[Full Name],"")</f>
        <v>Mavis Bonsu</v>
      </c>
      <c r="D17" t="str">
        <f>_xlfn.XLOOKUP(tblLoans[[#This Row],[Client ID]],tblClients[Client ID],tblClients[National ID],"")</f>
        <v>GHA-100017</v>
      </c>
      <c r="E17" t="str">
        <f>_xlfn.XLOOKUP(tblLoans[[#This Row],[Client ID]],tblClients[Client ID],tblClients[Phone Number],"")</f>
        <v>024100017</v>
      </c>
      <c r="F17" t="str">
        <f>_xlfn.XLOOKUP(tblLoans[[#This Row],[Client ID]],tblClients[Client ID],tblClients[Address],"")</f>
        <v>Plot 14, Airport Residential Road, Airport Residential Area</v>
      </c>
      <c r="G17" t="str">
        <f>_xlfn.XLOOKUP(tblLoans[[#This Row],[Client ID]],tblClients[Client ID],tblClients[Guarantor],"")</f>
        <v>Linda Aidoo</v>
      </c>
      <c r="H17" t="str">
        <f>_xlfn.XLOOKUP(tblLoans[[#This Row],[Client ID]],tblClients[Client ID],tblClients[Guarantor Phone],"")</f>
        <v>055 314 8579</v>
      </c>
      <c r="I17" s="7">
        <v>46042</v>
      </c>
      <c r="J17" s="14">
        <v>11500</v>
      </c>
      <c r="K17" s="11">
        <v>0.23499999999999999</v>
      </c>
      <c r="L17">
        <v>5</v>
      </c>
      <c r="M17" s="8">
        <f t="shared" si="1"/>
        <v>46193</v>
      </c>
      <c r="N17" s="12">
        <f t="shared" si="2"/>
        <v>2305.4050000000002</v>
      </c>
      <c r="O17" s="12">
        <f t="shared" si="3"/>
        <v>11527.025000000001</v>
      </c>
      <c r="P17" s="14">
        <f>SUMIF(Repayments!C:C,A17,Repayments!E:E)</f>
        <v>24000</v>
      </c>
      <c r="Q17" s="12">
        <f>tblLoans[[#This Row],[Total Amount to Repay]]-tblLoans[[#This Row],[Amount Repaid]]</f>
        <v>-12472.974999999999</v>
      </c>
      <c r="R17" t="str">
        <f ca="1">IF(AND(tblLoans[[#This Row],[Outstanding Balance]]&gt;0,tblLoans[[#This Row],[Due Date]]-TODAY()&lt;=14,tblLoans[[#This Row],[Due Date]]&gt;=TODAY()),"Yes","No")</f>
        <v>No</v>
      </c>
      <c r="S17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Completed</v>
      </c>
    </row>
    <row r="18" spans="1:19" x14ac:dyDescent="0.25">
      <c r="A18" t="str">
        <f t="shared" si="0"/>
        <v>LN-0017</v>
      </c>
      <c r="B18" t="s">
        <v>58</v>
      </c>
      <c r="C18" t="str">
        <f>_xlfn.XLOOKUP(tblLoans[[#This Row],[Client ID]],tblClients[Client ID],tblClients[Full Name],"")</f>
        <v>Joseph Ankrah</v>
      </c>
      <c r="D18" t="str">
        <f>_xlfn.XLOOKUP(tblLoans[[#This Row],[Client ID]],tblClients[Client ID],tblClients[National ID],"")</f>
        <v>GHA-100018</v>
      </c>
      <c r="E18" t="str">
        <f>_xlfn.XLOOKUP(tblLoans[[#This Row],[Client ID]],tblClients[Client ID],tblClients[Phone Number],"")</f>
        <v>024100018</v>
      </c>
      <c r="F18" t="str">
        <f>_xlfn.XLOOKUP(tblLoans[[#This Row],[Client ID]],tblClients[Client ID],tblClients[Address],"")</f>
        <v>House No. 37, Hill View Street, Obuasi East</v>
      </c>
      <c r="G18" t="str">
        <f>_xlfn.XLOOKUP(tblLoans[[#This Row],[Client ID]],tblClients[Client ID],tblClients[Guarantor],"")</f>
        <v>Eric Opoku</v>
      </c>
      <c r="H18" t="str">
        <f>_xlfn.XLOOKUP(tblLoans[[#This Row],[Client ID]],tblClients[Client ID],tblClients[Guarantor Phone],"")</f>
        <v>024 691 5382</v>
      </c>
      <c r="I18" s="7">
        <v>46070</v>
      </c>
      <c r="J18" s="14">
        <v>30000</v>
      </c>
      <c r="K18" s="11">
        <v>0.245</v>
      </c>
      <c r="L18">
        <v>12</v>
      </c>
      <c r="M18" s="8">
        <f t="shared" si="1"/>
        <v>46435</v>
      </c>
      <c r="N18" s="12">
        <f t="shared" si="2"/>
        <v>2506.1250000000005</v>
      </c>
      <c r="O18" s="12">
        <f t="shared" si="3"/>
        <v>30073.500000000004</v>
      </c>
      <c r="P18" s="14">
        <f>SUMIF(Repayments!C:C,A18,Repayments!E:E)</f>
        <v>11250</v>
      </c>
      <c r="Q18" s="12">
        <f>tblLoans[[#This Row],[Total Amount to Repay]]-tblLoans[[#This Row],[Amount Repaid]]</f>
        <v>18823.500000000004</v>
      </c>
      <c r="R18" t="str">
        <f ca="1">IF(AND(tblLoans[[#This Row],[Outstanding Balance]]&gt;0,tblLoans[[#This Row],[Due Date]]-TODAY()&lt;=14,tblLoans[[#This Row],[Due Date]]&gt;=TODAY()),"Yes","No")</f>
        <v>No</v>
      </c>
      <c r="S18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Active</v>
      </c>
    </row>
    <row r="19" spans="1:19" x14ac:dyDescent="0.25">
      <c r="A19" t="str">
        <f t="shared" si="0"/>
        <v>LN-0018</v>
      </c>
      <c r="B19" t="s">
        <v>59</v>
      </c>
      <c r="C19" t="str">
        <f>_xlfn.XLOOKUP(tblLoans[[#This Row],[Client ID]],tblClients[Client ID],tblClients[Full Name],"")</f>
        <v>Ruth Agyei</v>
      </c>
      <c r="D19" t="str">
        <f>_xlfn.XLOOKUP(tblLoans[[#This Row],[Client ID]],tblClients[Client ID],tblClients[National ID],"")</f>
        <v>GHA-100019</v>
      </c>
      <c r="E19" t="str">
        <f>_xlfn.XLOOKUP(tblLoans[[#This Row],[Client ID]],tblClients[Client ID],tblClients[Phone Number],"")</f>
        <v>024100019</v>
      </c>
      <c r="F19" t="str">
        <f>_xlfn.XLOOKUP(tblLoans[[#This Row],[Client ID]],tblClients[Client ID],tblClients[Address],"")</f>
        <v>Plot 56, Station Road, Dunkwa-on-Offin</v>
      </c>
      <c r="G19" t="str">
        <f>_xlfn.XLOOKUP(tblLoans[[#This Row],[Client ID]],tblClients[Client ID],tblClients[Guarantor],"")</f>
        <v>Grace Eshun</v>
      </c>
      <c r="H19" t="str">
        <f>_xlfn.XLOOKUP(tblLoans[[#This Row],[Client ID]],tblClients[Client ID],tblClients[Guarantor Phone],"")</f>
        <v>020 874 2951</v>
      </c>
      <c r="I19" s="7">
        <v>46105</v>
      </c>
      <c r="J19" s="14">
        <v>22500</v>
      </c>
      <c r="K19" s="11">
        <v>0.33</v>
      </c>
      <c r="L19">
        <v>10</v>
      </c>
      <c r="M19" s="8">
        <f t="shared" si="1"/>
        <v>46411</v>
      </c>
      <c r="N19" s="12">
        <f t="shared" si="2"/>
        <v>2257.4250000000002</v>
      </c>
      <c r="O19" s="12">
        <f t="shared" si="3"/>
        <v>22574.25</v>
      </c>
      <c r="P19" s="14">
        <f>SUMIF(Repayments!C:C,A19,Repayments!E:E)</f>
        <v>2320</v>
      </c>
      <c r="Q19" s="12">
        <f>tblLoans[[#This Row],[Total Amount to Repay]]-tblLoans[[#This Row],[Amount Repaid]]</f>
        <v>20254.25</v>
      </c>
      <c r="R19" t="str">
        <f ca="1">IF(AND(tblLoans[[#This Row],[Outstanding Balance]]&gt;0,tblLoans[[#This Row],[Due Date]]-TODAY()&lt;=14,tblLoans[[#This Row],[Due Date]]&gt;=TODAY()),"Yes","No")</f>
        <v>No</v>
      </c>
      <c r="S19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Active</v>
      </c>
    </row>
    <row r="20" spans="1:19" x14ac:dyDescent="0.25">
      <c r="A20" t="str">
        <f t="shared" si="0"/>
        <v>LN-0019</v>
      </c>
      <c r="B20" t="s">
        <v>60</v>
      </c>
      <c r="C20" t="str">
        <f>_xlfn.XLOOKUP(tblLoans[[#This Row],[Client ID]],tblClients[Client ID],tblClients[Full Name],"")</f>
        <v>Michael Tetteh</v>
      </c>
      <c r="D20" t="str">
        <f>_xlfn.XLOOKUP(tblLoans[[#This Row],[Client ID]],tblClients[Client ID],tblClients[National ID],"")</f>
        <v>GHA-100020</v>
      </c>
      <c r="E20" t="str">
        <f>_xlfn.XLOOKUP(tblLoans[[#This Row],[Client ID]],tblClients[Client ID],tblClients[Phone Number],"")</f>
        <v>024100020</v>
      </c>
      <c r="F20" t="str">
        <f>_xlfn.XLOOKUP(tblLoans[[#This Row],[Client ID]],tblClients[Client ID],tblClients[Address],"")</f>
        <v>House No. 9, Savannah Close, Damongo Central</v>
      </c>
      <c r="G20" t="str">
        <f>_xlfn.XLOOKUP(tblLoans[[#This Row],[Client ID]],tblClients[Client ID],tblClients[Guarantor],"")</f>
        <v>Mohammed Karim</v>
      </c>
      <c r="H20" t="str">
        <f>_xlfn.XLOOKUP(tblLoans[[#This Row],[Client ID]],tblClients[Client ID],tblClients[Guarantor Phone],"")</f>
        <v>054 517 3826</v>
      </c>
      <c r="I20" s="7">
        <v>46125</v>
      </c>
      <c r="J20" s="14">
        <v>5800</v>
      </c>
      <c r="K20" s="11">
        <v>0.25</v>
      </c>
      <c r="L20">
        <v>11</v>
      </c>
      <c r="M20" s="8">
        <f t="shared" si="1"/>
        <v>46459</v>
      </c>
      <c r="N20" s="12">
        <f t="shared" si="2"/>
        <v>528.59090909090912</v>
      </c>
      <c r="O20" s="12">
        <f t="shared" si="3"/>
        <v>5814.5</v>
      </c>
      <c r="P20" s="14">
        <f>SUMIF(Repayments!C:C,A20,Repayments!E:E)</f>
        <v>9600</v>
      </c>
      <c r="Q20" s="12">
        <f>tblLoans[[#This Row],[Total Amount to Repay]]-tblLoans[[#This Row],[Amount Repaid]]</f>
        <v>-3785.5</v>
      </c>
      <c r="R20" t="str">
        <f ca="1">IF(AND(tblLoans[[#This Row],[Outstanding Balance]]&gt;0,tblLoans[[#This Row],[Due Date]]-TODAY()&lt;=14,tblLoans[[#This Row],[Due Date]]&gt;=TODAY()),"Yes","No")</f>
        <v>No</v>
      </c>
      <c r="S20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Completed</v>
      </c>
    </row>
    <row r="21" spans="1:19" x14ac:dyDescent="0.25">
      <c r="A21" t="str">
        <f t="shared" si="0"/>
        <v>LN-0020</v>
      </c>
      <c r="B21" t="s">
        <v>61</v>
      </c>
      <c r="C21" t="str">
        <f>_xlfn.XLOOKUP(tblLoans[[#This Row],[Client ID]],tblClients[Client ID],tblClients[Full Name],"")</f>
        <v>Janet Ofori</v>
      </c>
      <c r="D21" t="str">
        <f>_xlfn.XLOOKUP(tblLoans[[#This Row],[Client ID]],tblClients[Client ID],tblClients[National ID],"")</f>
        <v>GHA-100021</v>
      </c>
      <c r="E21" t="str">
        <f>_xlfn.XLOOKUP(tblLoans[[#This Row],[Client ID]],tblClients[Client ID],tblClients[Phone Number],"")</f>
        <v>024100021</v>
      </c>
      <c r="F21" t="str">
        <f>_xlfn.XLOOKUP(tblLoans[[#This Row],[Client ID]],tblClients[Client ID],tblClients[Address],"")</f>
        <v>Plot 31, Jubilee Avenue, Nalerigu</v>
      </c>
      <c r="G21" t="str">
        <f>_xlfn.XLOOKUP(tblLoans[[#This Row],[Client ID]],tblClients[Client ID],tblClients[Guarantor],"")</f>
        <v>Ruth Azumah</v>
      </c>
      <c r="H21" t="str">
        <f>_xlfn.XLOOKUP(tblLoans[[#This Row],[Client ID]],tblClients[Client ID],tblClients[Guarantor Phone],"")</f>
        <v>027 963 5148</v>
      </c>
      <c r="I21" s="7">
        <v>46171</v>
      </c>
      <c r="J21" s="14">
        <v>16000</v>
      </c>
      <c r="K21" s="11">
        <v>0.29499999999999998</v>
      </c>
      <c r="L21">
        <v>8</v>
      </c>
      <c r="M21" s="8">
        <f t="shared" si="1"/>
        <v>46416</v>
      </c>
      <c r="N21" s="12">
        <f t="shared" si="2"/>
        <v>2005.9</v>
      </c>
      <c r="O21" s="12">
        <f t="shared" si="3"/>
        <v>16047.2</v>
      </c>
      <c r="P21" s="14">
        <f>SUMIF(Repayments!C:C,A21,Repayments!E:E)</f>
        <v>5400</v>
      </c>
      <c r="Q21" s="12">
        <f>tblLoans[[#This Row],[Total Amount to Repay]]-tblLoans[[#This Row],[Amount Repaid]]</f>
        <v>10647.2</v>
      </c>
      <c r="R21" t="str">
        <f ca="1">IF(AND(tblLoans[[#This Row],[Outstanding Balance]]&gt;0,tblLoans[[#This Row],[Due Date]]-TODAY()&lt;=14,tblLoans[[#This Row],[Due Date]]&gt;=TODAY()),"Yes","No")</f>
        <v>No</v>
      </c>
      <c r="S21" t="str">
        <f ca="1">IF(tblLoans[[#This Row],[Outstanding Balance]]&lt;=0,
"Completed",
IF(TODAY()&gt;tblLoans[[#This Row],[Due Date]]+90,
"Defaulted",
IF(TODAY()&gt;tblLoans[[#This Row],[Due Date]],
"Overdue",
IF(tblLoans[[#This Row],[Due Soon]]="Yes",
"Due Soon",
"Active"))))</f>
        <v>Active</v>
      </c>
    </row>
    <row r="24" spans="1:19" x14ac:dyDescent="0.25">
      <c r="G24" s="6"/>
      <c r="H24" s="9"/>
    </row>
    <row r="26" spans="1:19" x14ac:dyDescent="0.25">
      <c r="H26" s="6"/>
      <c r="I26" s="9"/>
    </row>
    <row r="27" spans="1:19" x14ac:dyDescent="0.25">
      <c r="H27" s="5"/>
      <c r="I27" s="10"/>
      <c r="K27" s="6"/>
      <c r="L27" s="9"/>
      <c r="M27" s="6"/>
      <c r="N27" s="9"/>
      <c r="O27" s="9"/>
    </row>
    <row r="28" spans="1:19" x14ac:dyDescent="0.25">
      <c r="H28" s="5"/>
      <c r="I28" s="10"/>
      <c r="J28" s="6"/>
      <c r="K28" s="9"/>
      <c r="L28" s="9"/>
      <c r="M28" s="5"/>
      <c r="N28" s="10"/>
      <c r="O28" s="10"/>
    </row>
    <row r="29" spans="1:19" x14ac:dyDescent="0.25">
      <c r="H29" s="5"/>
      <c r="I29" s="10"/>
      <c r="J29" s="5"/>
      <c r="K29" s="10"/>
      <c r="L29" s="10"/>
      <c r="M29" s="5"/>
      <c r="N29" s="10"/>
      <c r="O29" s="10"/>
    </row>
    <row r="30" spans="1:19" x14ac:dyDescent="0.25">
      <c r="H30" s="5"/>
      <c r="I30" s="10"/>
      <c r="J30" s="5"/>
      <c r="K30" s="10"/>
      <c r="L30" s="10"/>
      <c r="M30" s="5"/>
      <c r="N30" s="10"/>
      <c r="O30" s="10"/>
    </row>
    <row r="31" spans="1:19" x14ac:dyDescent="0.25">
      <c r="H31" s="5"/>
      <c r="I31" s="10"/>
      <c r="J31" s="5"/>
      <c r="K31" s="10"/>
      <c r="L31" s="10"/>
      <c r="M31" s="5"/>
      <c r="N31" s="10"/>
      <c r="O31" s="10"/>
    </row>
    <row r="32" spans="1:19" x14ac:dyDescent="0.25">
      <c r="H32" s="5"/>
      <c r="I32" s="10"/>
      <c r="J32" s="5"/>
      <c r="K32" s="10"/>
      <c r="L32" s="10"/>
      <c r="M32" s="5"/>
      <c r="N32" s="10"/>
      <c r="O32" s="10"/>
    </row>
    <row r="33" spans="8:15" x14ac:dyDescent="0.25">
      <c r="H33" s="5"/>
      <c r="I33" s="10"/>
      <c r="J33" s="5"/>
      <c r="K33" s="10"/>
      <c r="L33" s="10"/>
      <c r="M33" s="5"/>
      <c r="N33" s="10"/>
      <c r="O33" s="10"/>
    </row>
    <row r="34" spans="8:15" x14ac:dyDescent="0.25">
      <c r="H34" s="5"/>
      <c r="I34" s="10"/>
      <c r="J34" s="5"/>
      <c r="K34" s="10"/>
      <c r="L34" s="10"/>
      <c r="M34" s="5"/>
      <c r="N34" s="10"/>
      <c r="O34" s="10"/>
    </row>
    <row r="35" spans="8:15" x14ac:dyDescent="0.25">
      <c r="H35" s="5"/>
      <c r="I35" s="10"/>
      <c r="J35" s="5"/>
      <c r="K35" s="10"/>
      <c r="L35" s="10"/>
      <c r="M35" s="5"/>
      <c r="N35" s="10"/>
      <c r="O35" s="10"/>
    </row>
    <row r="36" spans="8:15" x14ac:dyDescent="0.25">
      <c r="H36" s="5"/>
      <c r="I36" s="10"/>
      <c r="J36" s="5"/>
      <c r="K36" s="10"/>
      <c r="L36" s="10"/>
      <c r="M36" s="5"/>
      <c r="N36" s="10"/>
      <c r="O36" s="10"/>
    </row>
    <row r="37" spans="8:15" x14ac:dyDescent="0.25">
      <c r="H37" s="5"/>
      <c r="I37" s="10"/>
      <c r="J37" s="5"/>
      <c r="K37" s="10"/>
      <c r="L37" s="10"/>
      <c r="M37" s="5"/>
      <c r="N37" s="10"/>
      <c r="O37" s="10"/>
    </row>
    <row r="38" spans="8:15" x14ac:dyDescent="0.25">
      <c r="H38" s="5"/>
      <c r="I38" s="10"/>
      <c r="J38" s="5"/>
      <c r="K38" s="10"/>
      <c r="L38" s="10"/>
      <c r="M38" s="5"/>
      <c r="N38" s="10"/>
      <c r="O38" s="10"/>
    </row>
    <row r="39" spans="8:15" x14ac:dyDescent="0.25">
      <c r="H39" s="5"/>
      <c r="I39" s="10"/>
      <c r="J39" s="5"/>
      <c r="K39" s="10"/>
      <c r="L39" s="10"/>
      <c r="M39" s="5"/>
      <c r="N39" s="10"/>
      <c r="O39" s="10"/>
    </row>
    <row r="40" spans="8:15" x14ac:dyDescent="0.25">
      <c r="H40" s="5"/>
      <c r="I40" s="10"/>
      <c r="J40" s="5"/>
      <c r="K40" s="10"/>
      <c r="L40" s="10"/>
      <c r="M40" s="5"/>
      <c r="N40" s="10"/>
      <c r="O40" s="10"/>
    </row>
    <row r="41" spans="8:15" x14ac:dyDescent="0.25">
      <c r="H41" s="5"/>
      <c r="I41" s="10"/>
      <c r="J41" s="5"/>
      <c r="K41" s="10"/>
      <c r="L41" s="10"/>
      <c r="M41" s="5"/>
      <c r="N41" s="10"/>
      <c r="O41" s="10"/>
    </row>
    <row r="42" spans="8:15" x14ac:dyDescent="0.25">
      <c r="H42" s="5"/>
      <c r="I42" s="10"/>
      <c r="J42" s="5"/>
      <c r="K42" s="10"/>
      <c r="L42" s="10"/>
      <c r="M42" s="5"/>
      <c r="N42" s="10"/>
      <c r="O42" s="10"/>
    </row>
    <row r="43" spans="8:15" x14ac:dyDescent="0.25">
      <c r="H43" s="5"/>
      <c r="I43" s="10"/>
      <c r="J43" s="5"/>
      <c r="K43" s="10"/>
      <c r="L43" s="10"/>
      <c r="M43" s="5"/>
      <c r="N43" s="10"/>
      <c r="O43" s="10"/>
    </row>
    <row r="44" spans="8:15" x14ac:dyDescent="0.25">
      <c r="H44" s="5"/>
      <c r="I44" s="10"/>
      <c r="J44" s="5"/>
      <c r="K44" s="10"/>
      <c r="L44" s="10"/>
      <c r="M44" s="5"/>
      <c r="N44" s="10"/>
      <c r="O44" s="10"/>
    </row>
    <row r="45" spans="8:15" x14ac:dyDescent="0.25">
      <c r="H45" s="5"/>
      <c r="I45" s="10"/>
      <c r="J45" s="5"/>
      <c r="K45" s="10"/>
      <c r="L45" s="10"/>
      <c r="M45" s="5"/>
      <c r="N45" s="10"/>
      <c r="O45" s="10"/>
    </row>
    <row r="46" spans="8:15" x14ac:dyDescent="0.25">
      <c r="H46" s="5"/>
      <c r="I46" s="10"/>
      <c r="J46" s="5"/>
      <c r="K46" s="10"/>
      <c r="L46" s="10"/>
      <c r="M46" s="5"/>
      <c r="N46" s="10"/>
      <c r="O46" s="10"/>
    </row>
    <row r="47" spans="8:15" x14ac:dyDescent="0.25">
      <c r="J47" s="5"/>
      <c r="K47" s="10"/>
      <c r="L47" s="10"/>
      <c r="M47" s="5"/>
      <c r="N47" s="10"/>
      <c r="O47" s="10"/>
    </row>
    <row r="48" spans="8:15" x14ac:dyDescent="0.25">
      <c r="J48" s="5"/>
      <c r="K48" s="10"/>
      <c r="L48" s="10"/>
    </row>
  </sheetData>
  <phoneticPr fontId="3" type="noConversion"/>
  <conditionalFormatting sqref="R1:R21">
    <cfRule type="cellIs" dxfId="6" priority="1" operator="equal">
      <formula>"No"</formula>
    </cfRule>
    <cfRule type="cellIs" dxfId="5" priority="2" operator="equal">
      <formula>"Yes"</formula>
    </cfRule>
  </conditionalFormatting>
  <conditionalFormatting sqref="S1:S21">
    <cfRule type="cellIs" dxfId="4" priority="3" operator="equal">
      <formula>"Due Soon"</formula>
    </cfRule>
    <cfRule type="cellIs" dxfId="3" priority="4" operator="equal">
      <formula>"Active"</formula>
    </cfRule>
    <cfRule type="cellIs" dxfId="2" priority="5" operator="equal">
      <formula>"Overdue"</formula>
    </cfRule>
    <cfRule type="cellIs" dxfId="1" priority="6" operator="equal">
      <formula>"Completed"</formula>
    </cfRule>
    <cfRule type="cellIs" dxfId="0" priority="7" operator="equal">
      <formula>"Defaulted"</formula>
    </cfRule>
  </conditionalFormatting>
  <dataValidations count="2">
    <dataValidation type="list" allowBlank="1" showInputMessage="1" showErrorMessage="1" sqref="S1:S21" xr:uid="{A613BAB2-6229-4E1B-B148-BCCE4F1D8995}">
      <formula1>"Active, Due Soon, Overdue, Defaulted, Completed"</formula1>
    </dataValidation>
    <dataValidation type="list" allowBlank="1" showInputMessage="1" showErrorMessage="1" sqref="L1:L21" xr:uid="{85A3DE1B-F9EB-46AD-8149-0AFC7A4B0C9B}">
      <formula1>"6,12,9,8,10,5,3,2,1,4,7,11,9,6,3,5,12,10,11,8"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9437-AB98-4CBE-A3A0-A09B1A878AF2}">
  <dimension ref="A1:H26"/>
  <sheetViews>
    <sheetView workbookViewId="0">
      <pane ySplit="1" topLeftCell="A2" activePane="bottomLeft" state="frozen"/>
      <selection pane="bottomLeft" activeCell="C22" sqref="C22"/>
    </sheetView>
  </sheetViews>
  <sheetFormatPr defaultRowHeight="15.75" x14ac:dyDescent="0.25"/>
  <cols>
    <col min="1" max="2" width="20.140625" style="26" bestFit="1" customWidth="1"/>
    <col min="3" max="3" width="16.5703125" style="26" bestFit="1" customWidth="1"/>
    <col min="4" max="4" width="18.140625" style="26" bestFit="1" customWidth="1"/>
    <col min="5" max="5" width="25.7109375" style="26" bestFit="1" customWidth="1"/>
    <col min="6" max="6" width="32.5703125" style="26" bestFit="1" customWidth="1"/>
    <col min="7" max="7" width="50.7109375" style="26" bestFit="1" customWidth="1"/>
    <col min="8" max="8" width="18" style="26" bestFit="1" customWidth="1"/>
    <col min="9" max="16384" width="9.140625" style="26"/>
  </cols>
  <sheetData>
    <row r="1" spans="1:8" ht="17.25" x14ac:dyDescent="0.25">
      <c r="A1" s="24" t="s">
        <v>181</v>
      </c>
      <c r="B1" s="25" t="s">
        <v>182</v>
      </c>
      <c r="C1" s="25" t="s">
        <v>13</v>
      </c>
      <c r="D1" s="25" t="s">
        <v>0</v>
      </c>
      <c r="E1" s="25" t="s">
        <v>183</v>
      </c>
      <c r="F1" s="25" t="s">
        <v>184</v>
      </c>
      <c r="G1" s="25" t="s">
        <v>185</v>
      </c>
      <c r="H1" s="25" t="s">
        <v>26</v>
      </c>
    </row>
    <row r="2" spans="1:8" x14ac:dyDescent="0.25">
      <c r="A2" s="26" t="str">
        <f>"RCT"&amp;TEXT(ROW()-1,"0000")</f>
        <v>RCT0001</v>
      </c>
      <c r="B2" s="27">
        <v>46067</v>
      </c>
      <c r="C2" s="26" t="str">
        <f t="shared" ref="C2:C21" si="0">"LN-"&amp;TEXT(ROW()-1,"0000")</f>
        <v>LN-0001</v>
      </c>
      <c r="D2" s="26" t="str">
        <f>_xlfn.XLOOKUP(tblRepayments[[#This Row],[Loan ID]],tblLoans[Loan ID],tblLoans[Client ID],"")</f>
        <v>C001</v>
      </c>
      <c r="E2" s="28">
        <v>2500</v>
      </c>
      <c r="F2" s="26" t="s">
        <v>186</v>
      </c>
      <c r="G2" s="26" t="s">
        <v>207</v>
      </c>
    </row>
    <row r="3" spans="1:8" x14ac:dyDescent="0.25">
      <c r="A3" s="26" t="str">
        <f t="shared" ref="A3:A20" si="1">"RCT"&amp;TEXT(ROW()-1,"0000")</f>
        <v>RCT0002</v>
      </c>
      <c r="B3" s="27">
        <v>46072</v>
      </c>
      <c r="C3" s="26" t="str">
        <f t="shared" si="0"/>
        <v>LN-0002</v>
      </c>
      <c r="D3" s="26" t="str">
        <f>_xlfn.XLOOKUP(tblRepayments[[#This Row],[Loan ID]],tblLoans[Loan ID],tblLoans[Client ID],"")</f>
        <v>C002</v>
      </c>
      <c r="E3" s="28">
        <v>5100</v>
      </c>
      <c r="F3" s="26" t="s">
        <v>187</v>
      </c>
      <c r="G3" s="26" t="s">
        <v>207</v>
      </c>
    </row>
    <row r="4" spans="1:8" x14ac:dyDescent="0.25">
      <c r="A4" s="26" t="str">
        <f t="shared" si="1"/>
        <v>RCT0003</v>
      </c>
      <c r="B4" s="27">
        <v>46077</v>
      </c>
      <c r="C4" s="26" t="str">
        <f t="shared" si="0"/>
        <v>LN-0003</v>
      </c>
      <c r="D4" s="26" t="str">
        <f>_xlfn.XLOOKUP(tblRepayments[[#This Row],[Loan ID]],tblLoans[Loan ID],tblLoans[Client ID],"")</f>
        <v>C003</v>
      </c>
      <c r="E4" s="28">
        <v>6000</v>
      </c>
      <c r="F4" s="26" t="s">
        <v>188</v>
      </c>
      <c r="G4" s="26" t="s">
        <v>207</v>
      </c>
    </row>
    <row r="5" spans="1:8" x14ac:dyDescent="0.25">
      <c r="A5" s="26" t="str">
        <f t="shared" si="1"/>
        <v>RCT0004</v>
      </c>
      <c r="B5" s="27">
        <v>46082</v>
      </c>
      <c r="C5" s="26" t="str">
        <f t="shared" si="0"/>
        <v>LN-0004</v>
      </c>
      <c r="D5" s="26" t="str">
        <f>_xlfn.XLOOKUP(tblRepayments[[#This Row],[Loan ID]],tblLoans[Loan ID],tblLoans[Client ID],"")</f>
        <v>C004</v>
      </c>
      <c r="E5" s="28">
        <v>12000</v>
      </c>
      <c r="F5" s="26" t="s">
        <v>186</v>
      </c>
      <c r="G5" s="26" t="s">
        <v>207</v>
      </c>
    </row>
    <row r="6" spans="1:8" x14ac:dyDescent="0.25">
      <c r="A6" s="26" t="str">
        <f t="shared" si="1"/>
        <v>RCT0005</v>
      </c>
      <c r="B6" s="27">
        <v>46087</v>
      </c>
      <c r="C6" s="26" t="str">
        <f t="shared" si="0"/>
        <v>LN-0005</v>
      </c>
      <c r="D6" s="26" t="str">
        <f>_xlfn.XLOOKUP(tblRepayments[[#This Row],[Loan ID]],tblLoans[Loan ID],tblLoans[Client ID],"")</f>
        <v>C005</v>
      </c>
      <c r="E6" s="28">
        <v>2600</v>
      </c>
      <c r="F6" s="26" t="s">
        <v>186</v>
      </c>
      <c r="G6" s="26" t="s">
        <v>207</v>
      </c>
    </row>
    <row r="7" spans="1:8" x14ac:dyDescent="0.25">
      <c r="A7" s="26" t="str">
        <f t="shared" si="1"/>
        <v>RCT0006</v>
      </c>
      <c r="B7" s="27">
        <v>46092</v>
      </c>
      <c r="C7" s="26" t="str">
        <f t="shared" si="0"/>
        <v>LN-0006</v>
      </c>
      <c r="D7" s="26" t="str">
        <f>_xlfn.XLOOKUP(tblRepayments[[#This Row],[Loan ID]],tblLoans[Loan ID],tblLoans[Client ID],"")</f>
        <v>C006</v>
      </c>
      <c r="E7" s="28">
        <v>15000</v>
      </c>
      <c r="F7" s="26" t="s">
        <v>186</v>
      </c>
      <c r="G7" s="26" t="s">
        <v>207</v>
      </c>
    </row>
    <row r="8" spans="1:8" x14ac:dyDescent="0.25">
      <c r="A8" s="26" t="str">
        <f t="shared" si="1"/>
        <v>RCT0007</v>
      </c>
      <c r="B8" s="27">
        <v>46097</v>
      </c>
      <c r="C8" s="26" t="str">
        <f t="shared" si="0"/>
        <v>LN-0007</v>
      </c>
      <c r="D8" s="26" t="str">
        <f>_xlfn.XLOOKUP(tblRepayments[[#This Row],[Loan ID]],tblLoans[Loan ID],tblLoans[Client ID],"")</f>
        <v>C007</v>
      </c>
      <c r="E8" s="28">
        <v>7500</v>
      </c>
      <c r="F8" s="26" t="s">
        <v>186</v>
      </c>
      <c r="G8" s="26" t="s">
        <v>207</v>
      </c>
    </row>
    <row r="9" spans="1:8" x14ac:dyDescent="0.25">
      <c r="A9" s="26" t="str">
        <f t="shared" si="1"/>
        <v>RCT0008</v>
      </c>
      <c r="B9" s="27">
        <v>46102</v>
      </c>
      <c r="C9" s="26" t="str">
        <f t="shared" si="0"/>
        <v>LN-0008</v>
      </c>
      <c r="D9" s="26" t="str">
        <f>_xlfn.XLOOKUP(tblRepayments[[#This Row],[Loan ID]],tblLoans[Loan ID],tblLoans[Client ID],"")</f>
        <v>C008</v>
      </c>
      <c r="E9" s="28">
        <v>1350</v>
      </c>
      <c r="F9" s="26" t="s">
        <v>186</v>
      </c>
      <c r="G9" s="26" t="s">
        <v>207</v>
      </c>
    </row>
    <row r="10" spans="1:8" x14ac:dyDescent="0.25">
      <c r="A10" s="26" t="str">
        <f t="shared" si="1"/>
        <v>RCT0009</v>
      </c>
      <c r="B10" s="27">
        <v>46107</v>
      </c>
      <c r="C10" s="26" t="str">
        <f t="shared" si="0"/>
        <v>LN-0009</v>
      </c>
      <c r="D10" s="26" t="str">
        <f>_xlfn.XLOOKUP(tblRepayments[[#This Row],[Loan ID]],tblLoans[Loan ID],tblLoans[Client ID],"")</f>
        <v>C009</v>
      </c>
      <c r="E10" s="28">
        <v>3900</v>
      </c>
      <c r="F10" s="26" t="s">
        <v>187</v>
      </c>
      <c r="G10" s="26" t="s">
        <v>207</v>
      </c>
    </row>
    <row r="11" spans="1:8" x14ac:dyDescent="0.25">
      <c r="A11" s="26" t="str">
        <f t="shared" si="1"/>
        <v>RCT0010</v>
      </c>
      <c r="B11" s="27">
        <v>46112</v>
      </c>
      <c r="C11" s="26" t="str">
        <f t="shared" si="0"/>
        <v>LN-0010</v>
      </c>
      <c r="D11" s="26" t="str">
        <f>_xlfn.XLOOKUP(tblRepayments[[#This Row],[Loan ID]],tblLoans[Loan ID],tblLoans[Client ID],"")</f>
        <v>C010</v>
      </c>
      <c r="E11" s="28">
        <v>9000</v>
      </c>
      <c r="F11" s="26" t="s">
        <v>186</v>
      </c>
      <c r="G11" s="26" t="s">
        <v>207</v>
      </c>
    </row>
    <row r="12" spans="1:8" x14ac:dyDescent="0.25">
      <c r="A12" s="26" t="str">
        <f t="shared" si="1"/>
        <v>RCT0011</v>
      </c>
      <c r="B12" s="27">
        <v>46117</v>
      </c>
      <c r="C12" s="26" t="str">
        <f t="shared" si="0"/>
        <v>LN-0011</v>
      </c>
      <c r="D12" s="26" t="str">
        <f>_xlfn.XLOOKUP(tblRepayments[[#This Row],[Loan ID]],tblLoans[Loan ID],tblLoans[Client ID],"")</f>
        <v>C011</v>
      </c>
      <c r="E12" s="28">
        <v>1750</v>
      </c>
      <c r="F12" s="26" t="s">
        <v>188</v>
      </c>
      <c r="G12" s="26" t="s">
        <v>207</v>
      </c>
    </row>
    <row r="13" spans="1:8" x14ac:dyDescent="0.25">
      <c r="A13" s="26" t="str">
        <f t="shared" si="1"/>
        <v>RCT0012</v>
      </c>
      <c r="B13" s="27">
        <v>46122</v>
      </c>
      <c r="C13" s="26" t="str">
        <f t="shared" si="0"/>
        <v>LN-0012</v>
      </c>
      <c r="D13" s="26" t="str">
        <f>_xlfn.XLOOKUP(tblRepayments[[#This Row],[Loan ID]],tblLoans[Loan ID],tblLoans[Client ID],"")</f>
        <v>C012</v>
      </c>
      <c r="E13" s="28">
        <v>20000</v>
      </c>
      <c r="F13" s="26" t="s">
        <v>186</v>
      </c>
      <c r="G13" s="26" t="s">
        <v>207</v>
      </c>
    </row>
    <row r="14" spans="1:8" x14ac:dyDescent="0.25">
      <c r="A14" s="26" t="str">
        <f t="shared" si="1"/>
        <v>RCT0013</v>
      </c>
      <c r="B14" s="27">
        <v>46127</v>
      </c>
      <c r="C14" s="26" t="str">
        <f t="shared" si="0"/>
        <v>LN-0013</v>
      </c>
      <c r="D14" s="26" t="str">
        <f>_xlfn.XLOOKUP(tblRepayments[[#This Row],[Loan ID]],tblLoans[Loan ID],tblLoans[Client ID],"")</f>
        <v>C013</v>
      </c>
      <c r="E14" s="28">
        <v>8400</v>
      </c>
      <c r="F14" s="26" t="s">
        <v>186</v>
      </c>
      <c r="G14" s="26" t="s">
        <v>207</v>
      </c>
    </row>
    <row r="15" spans="1:8" x14ac:dyDescent="0.25">
      <c r="A15" s="26" t="str">
        <f t="shared" si="1"/>
        <v>RCT0014</v>
      </c>
      <c r="B15" s="27">
        <v>46132</v>
      </c>
      <c r="C15" s="26" t="str">
        <f t="shared" si="0"/>
        <v>LN-0014</v>
      </c>
      <c r="D15" s="26" t="str">
        <f>_xlfn.XLOOKUP(tblRepayments[[#This Row],[Loan ID]],tblLoans[Loan ID],tblLoans[Client ID],"")</f>
        <v>C014</v>
      </c>
      <c r="E15" s="28">
        <v>4500</v>
      </c>
      <c r="F15" s="26" t="s">
        <v>187</v>
      </c>
      <c r="G15" s="26" t="s">
        <v>207</v>
      </c>
    </row>
    <row r="16" spans="1:8" x14ac:dyDescent="0.25">
      <c r="A16" s="26" t="str">
        <f t="shared" si="1"/>
        <v>RCT0015</v>
      </c>
      <c r="B16" s="27">
        <v>46137</v>
      </c>
      <c r="C16" s="26" t="str">
        <f t="shared" si="0"/>
        <v>LN-0015</v>
      </c>
      <c r="D16" s="26" t="str">
        <f>_xlfn.XLOOKUP(tblRepayments[[#This Row],[Loan ID]],tblLoans[Loan ID],tblLoans[Client ID],"")</f>
        <v>C015</v>
      </c>
      <c r="E16" s="28">
        <v>6900</v>
      </c>
      <c r="F16" s="26" t="s">
        <v>186</v>
      </c>
      <c r="G16" s="26" t="s">
        <v>207</v>
      </c>
    </row>
    <row r="17" spans="1:7" x14ac:dyDescent="0.25">
      <c r="A17" s="26" t="str">
        <f t="shared" si="1"/>
        <v>RCT0016</v>
      </c>
      <c r="B17" s="27">
        <v>46142</v>
      </c>
      <c r="C17" s="26" t="str">
        <f t="shared" si="0"/>
        <v>LN-0016</v>
      </c>
      <c r="D17" s="26" t="str">
        <f>_xlfn.XLOOKUP(tblRepayments[[#This Row],[Loan ID]],tblLoans[Loan ID],tblLoans[Client ID],"")</f>
        <v>C016</v>
      </c>
      <c r="E17" s="28">
        <v>24000</v>
      </c>
      <c r="F17" s="26" t="s">
        <v>186</v>
      </c>
      <c r="G17" s="26" t="s">
        <v>207</v>
      </c>
    </row>
    <row r="18" spans="1:7" x14ac:dyDescent="0.25">
      <c r="A18" s="26" t="str">
        <f t="shared" si="1"/>
        <v>RCT0017</v>
      </c>
      <c r="B18" s="27">
        <v>46147</v>
      </c>
      <c r="C18" s="26" t="str">
        <f t="shared" si="0"/>
        <v>LN-0017</v>
      </c>
      <c r="D18" s="26" t="str">
        <f>_xlfn.XLOOKUP(tblRepayments[[#This Row],[Loan ID]],tblLoans[Loan ID],tblLoans[Client ID],"")</f>
        <v>C017</v>
      </c>
      <c r="E18" s="28">
        <v>11250</v>
      </c>
      <c r="F18" s="26" t="s">
        <v>186</v>
      </c>
      <c r="G18" s="26" t="s">
        <v>207</v>
      </c>
    </row>
    <row r="19" spans="1:7" x14ac:dyDescent="0.25">
      <c r="A19" s="26" t="str">
        <f t="shared" si="1"/>
        <v>RCT0018</v>
      </c>
      <c r="B19" s="27">
        <v>46152</v>
      </c>
      <c r="C19" s="26" t="str">
        <f t="shared" si="0"/>
        <v>LN-0018</v>
      </c>
      <c r="D19" s="26" t="str">
        <f>_xlfn.XLOOKUP(tblRepayments[[#This Row],[Loan ID]],tblLoans[Loan ID],tblLoans[Client ID],"")</f>
        <v>C018</v>
      </c>
      <c r="E19" s="28">
        <v>2320</v>
      </c>
      <c r="F19" s="26" t="s">
        <v>188</v>
      </c>
      <c r="G19" s="26" t="s">
        <v>207</v>
      </c>
    </row>
    <row r="20" spans="1:7" x14ac:dyDescent="0.25">
      <c r="A20" s="26" t="str">
        <f t="shared" si="1"/>
        <v>RCT0019</v>
      </c>
      <c r="B20" s="27">
        <v>46157</v>
      </c>
      <c r="C20" s="26" t="str">
        <f t="shared" si="0"/>
        <v>LN-0019</v>
      </c>
      <c r="D20" s="26" t="str">
        <f>_xlfn.XLOOKUP(tblRepayments[[#This Row],[Loan ID]],tblLoans[Loan ID],tblLoans[Client ID],"")</f>
        <v>C019</v>
      </c>
      <c r="E20" s="28">
        <v>9600</v>
      </c>
      <c r="F20" s="26" t="s">
        <v>186</v>
      </c>
      <c r="G20" s="26" t="s">
        <v>207</v>
      </c>
    </row>
    <row r="21" spans="1:7" x14ac:dyDescent="0.25">
      <c r="A21" s="26" t="str">
        <f>"RCT"&amp;TEXT(ROW()-1,"0000")</f>
        <v>RCT0020</v>
      </c>
      <c r="B21" s="27">
        <v>46162</v>
      </c>
      <c r="C21" s="26" t="str">
        <f t="shared" si="0"/>
        <v>LN-0020</v>
      </c>
      <c r="D21" s="26" t="str">
        <f>_xlfn.XLOOKUP(tblRepayments[[#This Row],[Loan ID]],tblLoans[Loan ID],tblLoans[Client ID],"")</f>
        <v>C020</v>
      </c>
      <c r="E21" s="28">
        <v>5400</v>
      </c>
      <c r="F21" s="26" t="s">
        <v>186</v>
      </c>
      <c r="G21" s="26" t="s">
        <v>207</v>
      </c>
    </row>
    <row r="26" spans="1:7" ht="17.25" x14ac:dyDescent="0.25">
      <c r="F26" s="29"/>
    </row>
  </sheetData>
  <dataValidations count="3">
    <dataValidation type="list" allowBlank="1" showInputMessage="1" showErrorMessage="1" sqref="F1:F21" xr:uid="{39DE009E-7B72-4F8D-82ED-1F1FF264D450}">
      <formula1>"Mobile Money, Bank Transfer, Cash"</formula1>
    </dataValidation>
    <dataValidation type="list" allowBlank="1" showInputMessage="1" showErrorMessage="1" sqref="G1" xr:uid="{EC4EC5C9-38F0-4536-98A6-5B256777DB58}">
      <formula1>"Lender (Melody Esinam Agyemang)"</formula1>
    </dataValidation>
    <dataValidation type="list" allowBlank="1" showInputMessage="1" showErrorMessage="1" sqref="G2:G21" xr:uid="{29A0E0CF-168E-45B2-8A24-23FE59EB6810}">
      <formula1>"Lender (Melody Esinam Agyeman)"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25A1-278A-407C-8E6B-6D590CCD0373}">
  <dimension ref="A1:B15"/>
  <sheetViews>
    <sheetView zoomScale="64" zoomScaleNormal="64" workbookViewId="0">
      <selection activeCell="AG20" sqref="AG20"/>
    </sheetView>
  </sheetViews>
  <sheetFormatPr defaultRowHeight="23.25" x14ac:dyDescent="0.35"/>
  <cols>
    <col min="1" max="1" width="46.42578125" style="18" bestFit="1" customWidth="1"/>
    <col min="2" max="2" width="22" style="18" customWidth="1"/>
    <col min="3" max="16384" width="9.140625" style="18"/>
  </cols>
  <sheetData>
    <row r="1" spans="1:2" x14ac:dyDescent="0.35">
      <c r="A1" s="18" t="s">
        <v>189</v>
      </c>
    </row>
    <row r="2" spans="1:2" x14ac:dyDescent="0.35">
      <c r="A2" s="18" t="s">
        <v>208</v>
      </c>
      <c r="B2" s="18" t="s">
        <v>209</v>
      </c>
    </row>
    <row r="3" spans="1:2" x14ac:dyDescent="0.35">
      <c r="A3" s="18" t="s">
        <v>190</v>
      </c>
      <c r="B3" s="18">
        <f>COUNTA(tblLoans[Loan ID])</f>
        <v>20</v>
      </c>
    </row>
    <row r="4" spans="1:2" ht="26.25" x14ac:dyDescent="0.35">
      <c r="A4" s="19" t="s">
        <v>191</v>
      </c>
      <c r="B4" s="30">
        <f>SUM('Loan Register'!J:J)</f>
        <v>258100</v>
      </c>
    </row>
    <row r="5" spans="1:2" ht="26.25" x14ac:dyDescent="0.35">
      <c r="A5" s="17" t="s">
        <v>192</v>
      </c>
      <c r="B5" s="30">
        <f>SUM(tblRepayments[Amount Paid])</f>
        <v>159070</v>
      </c>
    </row>
    <row r="6" spans="1:2" ht="26.25" x14ac:dyDescent="0.35">
      <c r="A6" s="17" t="s">
        <v>193</v>
      </c>
      <c r="B6" s="30">
        <f>SUM(tblLoans[Outstanding Balance])</f>
        <v>99737.59</v>
      </c>
    </row>
    <row r="7" spans="1:2" ht="26.25" x14ac:dyDescent="0.35">
      <c r="A7" s="19" t="s">
        <v>194</v>
      </c>
      <c r="B7" s="18">
        <f ca="1">COUNTIF(tblLoans[Status],"Active")</f>
        <v>3</v>
      </c>
    </row>
    <row r="8" spans="1:2" ht="26.25" x14ac:dyDescent="0.35">
      <c r="A8" s="17" t="s">
        <v>195</v>
      </c>
      <c r="B8" s="18">
        <f ca="1">COUNTIF(tblLoans[Status],"Overdue")</f>
        <v>1</v>
      </c>
    </row>
    <row r="9" spans="1:2" ht="26.25" x14ac:dyDescent="0.35">
      <c r="A9" s="19" t="s">
        <v>196</v>
      </c>
      <c r="B9" s="18">
        <f ca="1">COUNTIF(tblLoans[Status],"Completed")</f>
        <v>6</v>
      </c>
    </row>
    <row r="10" spans="1:2" ht="26.25" x14ac:dyDescent="0.35">
      <c r="A10" s="19" t="s">
        <v>197</v>
      </c>
      <c r="B10" s="18">
        <f ca="1">COUNTIF(tblLoans[Due Soon],"Yes")</f>
        <v>0</v>
      </c>
    </row>
    <row r="12" spans="1:2" x14ac:dyDescent="0.35">
      <c r="A12" s="18" t="s">
        <v>198</v>
      </c>
      <c r="B12" s="18">
        <f ca="1">COUNTIF('Loan Register'!S:S,A12)</f>
        <v>3</v>
      </c>
    </row>
    <row r="13" spans="1:2" x14ac:dyDescent="0.35">
      <c r="A13" s="18" t="s">
        <v>24</v>
      </c>
      <c r="B13" s="18">
        <f ca="1">COUNTIF('Loan Register'!S:S,A13)</f>
        <v>0</v>
      </c>
    </row>
    <row r="14" spans="1:2" x14ac:dyDescent="0.35">
      <c r="A14" s="18" t="s">
        <v>199</v>
      </c>
      <c r="B14" s="18">
        <f ca="1">COUNTIF('Loan Register'!S:S,A14)</f>
        <v>1</v>
      </c>
    </row>
    <row r="15" spans="1:2" x14ac:dyDescent="0.35">
      <c r="A15" s="18" t="s">
        <v>200</v>
      </c>
      <c r="B15" s="18">
        <f ca="1">COUNTIF('Loan Register'!S:S,A15)</f>
        <v>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28D0-1459-4025-9B79-E9D12C177935}">
  <dimension ref="A3:B24"/>
  <sheetViews>
    <sheetView workbookViewId="0">
      <selection activeCell="L8" sqref="L8"/>
    </sheetView>
  </sheetViews>
  <sheetFormatPr defaultRowHeight="23.25" x14ac:dyDescent="0.35"/>
  <cols>
    <col min="1" max="1" width="23.140625" style="18" bestFit="1" customWidth="1"/>
    <col min="2" max="2" width="19.85546875" style="18" bestFit="1" customWidth="1"/>
    <col min="3" max="20" width="16.28515625" style="18" bestFit="1" customWidth="1"/>
    <col min="21" max="21" width="11.28515625" style="18" bestFit="1" customWidth="1"/>
    <col min="22" max="16384" width="9.140625" style="18"/>
  </cols>
  <sheetData>
    <row r="3" spans="1:2" x14ac:dyDescent="0.35">
      <c r="A3" s="20" t="s">
        <v>202</v>
      </c>
      <c r="B3" s="18" t="s">
        <v>203</v>
      </c>
    </row>
    <row r="4" spans="1:2" x14ac:dyDescent="0.35">
      <c r="A4" s="21">
        <v>46067</v>
      </c>
      <c r="B4" s="22">
        <v>2500</v>
      </c>
    </row>
    <row r="5" spans="1:2" x14ac:dyDescent="0.35">
      <c r="A5" s="21">
        <v>46072</v>
      </c>
      <c r="B5" s="22">
        <v>5100</v>
      </c>
    </row>
    <row r="6" spans="1:2" x14ac:dyDescent="0.35">
      <c r="A6" s="21">
        <v>46077</v>
      </c>
      <c r="B6" s="22">
        <v>6000</v>
      </c>
    </row>
    <row r="7" spans="1:2" x14ac:dyDescent="0.35">
      <c r="A7" s="21">
        <v>46082</v>
      </c>
      <c r="B7" s="22">
        <v>12000</v>
      </c>
    </row>
    <row r="8" spans="1:2" x14ac:dyDescent="0.35">
      <c r="A8" s="21">
        <v>46087</v>
      </c>
      <c r="B8" s="22">
        <v>2600</v>
      </c>
    </row>
    <row r="9" spans="1:2" x14ac:dyDescent="0.35">
      <c r="A9" s="21">
        <v>46092</v>
      </c>
      <c r="B9" s="22">
        <v>15000</v>
      </c>
    </row>
    <row r="10" spans="1:2" x14ac:dyDescent="0.35">
      <c r="A10" s="21">
        <v>46097</v>
      </c>
      <c r="B10" s="22">
        <v>7500</v>
      </c>
    </row>
    <row r="11" spans="1:2" x14ac:dyDescent="0.35">
      <c r="A11" s="21">
        <v>46102</v>
      </c>
      <c r="B11" s="22">
        <v>1350</v>
      </c>
    </row>
    <row r="12" spans="1:2" x14ac:dyDescent="0.35">
      <c r="A12" s="21">
        <v>46107</v>
      </c>
      <c r="B12" s="22">
        <v>3900</v>
      </c>
    </row>
    <row r="13" spans="1:2" x14ac:dyDescent="0.35">
      <c r="A13" s="21">
        <v>46112</v>
      </c>
      <c r="B13" s="22">
        <v>9000</v>
      </c>
    </row>
    <row r="14" spans="1:2" x14ac:dyDescent="0.35">
      <c r="A14" s="21">
        <v>46117</v>
      </c>
      <c r="B14" s="22">
        <v>1750</v>
      </c>
    </row>
    <row r="15" spans="1:2" x14ac:dyDescent="0.35">
      <c r="A15" s="21">
        <v>46122</v>
      </c>
      <c r="B15" s="22">
        <v>20000</v>
      </c>
    </row>
    <row r="16" spans="1:2" x14ac:dyDescent="0.35">
      <c r="A16" s="21">
        <v>46127</v>
      </c>
      <c r="B16" s="22">
        <v>8400</v>
      </c>
    </row>
    <row r="17" spans="1:2" x14ac:dyDescent="0.35">
      <c r="A17" s="21">
        <v>46132</v>
      </c>
      <c r="B17" s="22">
        <v>4500</v>
      </c>
    </row>
    <row r="18" spans="1:2" x14ac:dyDescent="0.35">
      <c r="A18" s="21">
        <v>46137</v>
      </c>
      <c r="B18" s="22">
        <v>6900</v>
      </c>
    </row>
    <row r="19" spans="1:2" x14ac:dyDescent="0.35">
      <c r="A19" s="21">
        <v>46142</v>
      </c>
      <c r="B19" s="22">
        <v>24000</v>
      </c>
    </row>
    <row r="20" spans="1:2" x14ac:dyDescent="0.35">
      <c r="A20" s="21">
        <v>46147</v>
      </c>
      <c r="B20" s="22">
        <v>11250</v>
      </c>
    </row>
    <row r="21" spans="1:2" x14ac:dyDescent="0.35">
      <c r="A21" s="21">
        <v>46152</v>
      </c>
      <c r="B21" s="22">
        <v>2320</v>
      </c>
    </row>
    <row r="22" spans="1:2" x14ac:dyDescent="0.35">
      <c r="A22" s="21">
        <v>46157</v>
      </c>
      <c r="B22" s="22">
        <v>9600</v>
      </c>
    </row>
    <row r="23" spans="1:2" x14ac:dyDescent="0.35">
      <c r="A23" s="21">
        <v>46162</v>
      </c>
      <c r="B23" s="22">
        <v>5400</v>
      </c>
    </row>
    <row r="24" spans="1:2" x14ac:dyDescent="0.35">
      <c r="A24" s="21" t="s">
        <v>201</v>
      </c>
      <c r="B24" s="22">
        <v>159070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911F-5A14-45B8-8BE6-DFB55C12AC84}">
  <dimension ref="A3:B8"/>
  <sheetViews>
    <sheetView workbookViewId="0">
      <selection activeCell="B12" sqref="B12"/>
    </sheetView>
  </sheetViews>
  <sheetFormatPr defaultRowHeight="23.25" x14ac:dyDescent="0.35"/>
  <cols>
    <col min="1" max="1" width="20" style="18" bestFit="1" customWidth="1"/>
    <col min="2" max="2" width="25.28515625" style="18" bestFit="1" customWidth="1"/>
    <col min="3" max="16384" width="9.140625" style="18"/>
  </cols>
  <sheetData>
    <row r="3" spans="1:2" x14ac:dyDescent="0.35">
      <c r="A3" s="20" t="s">
        <v>202</v>
      </c>
      <c r="B3" s="18" t="s">
        <v>205</v>
      </c>
    </row>
    <row r="4" spans="1:2" x14ac:dyDescent="0.35">
      <c r="A4" s="23" t="s">
        <v>198</v>
      </c>
      <c r="B4" s="18">
        <v>3</v>
      </c>
    </row>
    <row r="5" spans="1:2" x14ac:dyDescent="0.35">
      <c r="A5" s="23" t="s">
        <v>200</v>
      </c>
      <c r="B5" s="18">
        <v>6</v>
      </c>
    </row>
    <row r="6" spans="1:2" x14ac:dyDescent="0.35">
      <c r="A6" s="23" t="s">
        <v>204</v>
      </c>
      <c r="B6" s="18">
        <v>9</v>
      </c>
    </row>
    <row r="7" spans="1:2" x14ac:dyDescent="0.35">
      <c r="A7" s="23" t="s">
        <v>199</v>
      </c>
      <c r="B7" s="18">
        <v>2</v>
      </c>
    </row>
    <row r="8" spans="1:2" x14ac:dyDescent="0.35">
      <c r="A8" s="23" t="s">
        <v>201</v>
      </c>
      <c r="B8" s="18">
        <v>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6BAC-CFE2-4B7C-BBF7-7458E6907472}">
  <dimension ref="A3:B5"/>
  <sheetViews>
    <sheetView workbookViewId="0">
      <selection activeCell="F27" sqref="F27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15" t="s">
        <v>202</v>
      </c>
      <c r="B3" t="s">
        <v>205</v>
      </c>
    </row>
    <row r="4" spans="1:2" x14ac:dyDescent="0.25">
      <c r="A4" s="16" t="s">
        <v>206</v>
      </c>
      <c r="B4">
        <v>20</v>
      </c>
    </row>
    <row r="5" spans="1:2" x14ac:dyDescent="0.25">
      <c r="A5" s="16" t="s">
        <v>201</v>
      </c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 Database</vt:lpstr>
      <vt:lpstr>Loan Register</vt:lpstr>
      <vt:lpstr>Repayments</vt:lpstr>
      <vt:lpstr>Dashboard</vt:lpstr>
      <vt:lpstr> Monthly Collections</vt:lpstr>
      <vt:lpstr>Loan Status Distribution </vt:lpstr>
      <vt:lpstr>Loans Due Soon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Banyen</dc:creator>
  <cp:lastModifiedBy>Peter Banyen</cp:lastModifiedBy>
  <dcterms:created xsi:type="dcterms:W3CDTF">2026-08-05T09:08:05Z</dcterms:created>
  <dcterms:modified xsi:type="dcterms:W3CDTF">2026-09-04T10:17:11Z</dcterms:modified>
</cp:coreProperties>
</file>